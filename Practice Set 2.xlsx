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Imarticus\Excel\Practice sheet\"/>
    </mc:Choice>
  </mc:AlternateContent>
  <xr:revisionPtr revIDLastSave="0" documentId="13_ncr:1_{936F56B8-35E4-4EB7-8A5A-79C2555E879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  <sheet name="Q11" sheetId="11" r:id="rId11"/>
  </sheets>
  <definedNames>
    <definedName name="_xlnm._FilterDatabase" localSheetId="9" hidden="1">'Q10'!$C$6:$M$113</definedName>
    <definedName name="_xlnm._FilterDatabase" localSheetId="3" hidden="1">'Q4'!$B$3:$I$23</definedName>
    <definedName name="_xlnm._FilterDatabase" localSheetId="5" hidden="1">'Q6'!$B$5:$N$156</definedName>
    <definedName name="_xlnm._FilterDatabase" localSheetId="6" hidden="1">'Q7'!$B$4:$N$155</definedName>
    <definedName name="_xlnm._FilterDatabase" localSheetId="7" hidden="1">'Q8'!$B$4:$F$204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5" roundtripDataChecksum="7BpmAGU+txudobZKLV6lXrC+IMgSC1rdo/npc22OMhI="/>
    </ext>
  </extLst>
</workbook>
</file>

<file path=xl/calcChain.xml><?xml version="1.0" encoding="utf-8"?>
<calcChain xmlns="http://schemas.openxmlformats.org/spreadsheetml/2006/main">
  <c r="N8" i="1" l="1"/>
  <c r="N13" i="1"/>
  <c r="E7" i="11"/>
  <c r="E8" i="11"/>
  <c r="E9" i="11"/>
  <c r="E10" i="11"/>
  <c r="E11" i="11"/>
  <c r="E6" i="11"/>
  <c r="G29" i="4"/>
  <c r="G28" i="4"/>
  <c r="G27" i="4"/>
  <c r="G26" i="4"/>
  <c r="F25" i="3"/>
  <c r="D14" i="2"/>
  <c r="D11" i="2"/>
  <c r="D7" i="2"/>
  <c r="N21" i="1"/>
  <c r="N17" i="1"/>
</calcChain>
</file>

<file path=xl/sharedStrings.xml><?xml version="1.0" encoding="utf-8"?>
<sst xmlns="http://schemas.openxmlformats.org/spreadsheetml/2006/main" count="2306" uniqueCount="779">
  <si>
    <t>Suggestion charts sheet for employee on Smoking policy in the New Year</t>
  </si>
  <si>
    <t>Account</t>
  </si>
  <si>
    <t>HR</t>
  </si>
  <si>
    <t>Sales</t>
  </si>
  <si>
    <t>IT</t>
  </si>
  <si>
    <t>Factory 1</t>
  </si>
  <si>
    <t>Y</t>
  </si>
  <si>
    <t>N</t>
  </si>
  <si>
    <t>NO. OF EMPOYEES WHO DID NOT REGISTER THE VOTE</t>
  </si>
  <si>
    <t>Factory 2</t>
  </si>
  <si>
    <t>Factory 3</t>
  </si>
  <si>
    <t>Factory 4</t>
  </si>
  <si>
    <t>Factory 5</t>
  </si>
  <si>
    <t>Factory 6</t>
  </si>
  <si>
    <t>NO. OF EMPLOYEES WHO REGISTER THEIR VOTE</t>
  </si>
  <si>
    <t>Factory 7</t>
  </si>
  <si>
    <t>Factory 8</t>
  </si>
  <si>
    <t>Factory 9</t>
  </si>
  <si>
    <t>Factory 10</t>
  </si>
  <si>
    <t>NO OF EMPLOYEES WHO IS IN FAVOUR OF POLICY</t>
  </si>
  <si>
    <t>Factory 11</t>
  </si>
  <si>
    <t>Factory 12</t>
  </si>
  <si>
    <t>Factory 13</t>
  </si>
  <si>
    <t>Factory 14</t>
  </si>
  <si>
    <t>NO OF EMPLOYEES WHO IS AGAINST THE POLICY</t>
  </si>
  <si>
    <t>Factory 15</t>
  </si>
  <si>
    <t>Start date</t>
  </si>
  <si>
    <t>End date</t>
  </si>
  <si>
    <t>Calculate the difference btw start &amp; end date in years</t>
  </si>
  <si>
    <t>Calculate the difference btw start &amp; end date wrt to months</t>
  </si>
  <si>
    <t>Calculate the difference btw start &amp; end date in months</t>
  </si>
  <si>
    <t xml:space="preserve"> Count the Number of Empty Cells :</t>
  </si>
  <si>
    <t>Employee ID</t>
  </si>
  <si>
    <t>Name</t>
  </si>
  <si>
    <t>Gender</t>
  </si>
  <si>
    <t>Position</t>
  </si>
  <si>
    <t>Date Joined</t>
  </si>
  <si>
    <t>Email</t>
  </si>
  <si>
    <t>Street Address</t>
  </si>
  <si>
    <t>E-131</t>
  </si>
  <si>
    <t>Rachel Green</t>
  </si>
  <si>
    <t>Female</t>
  </si>
  <si>
    <t>Senior Salesperson</t>
  </si>
  <si>
    <t>rachel.green@demomail.com</t>
  </si>
  <si>
    <t>9416 Lexington Avenue</t>
  </si>
  <si>
    <t>E-132</t>
  </si>
  <si>
    <t>Ross Geller</t>
  </si>
  <si>
    <t>Male</t>
  </si>
  <si>
    <t>Counter Salesperson</t>
  </si>
  <si>
    <t>ross.geller@demomail.com</t>
  </si>
  <si>
    <t>597 Daniel Moss Road</t>
  </si>
  <si>
    <t>E-133</t>
  </si>
  <si>
    <t>Joey Tribbiani</t>
  </si>
  <si>
    <t>Junior Salesperson</t>
  </si>
  <si>
    <t>joey.tribbiani@demomail.com</t>
  </si>
  <si>
    <t>1813 Rangeway Drive</t>
  </si>
  <si>
    <t>E-134</t>
  </si>
  <si>
    <t>Chandler Bing</t>
  </si>
  <si>
    <t>chandler.bing@demomail.com</t>
  </si>
  <si>
    <t>289 Creek Drive</t>
  </si>
  <si>
    <t>E-135</t>
  </si>
  <si>
    <t>Monica Geller</t>
  </si>
  <si>
    <t>monica.geller@demomail.com</t>
  </si>
  <si>
    <t>134 East North Canyon Road</t>
  </si>
  <si>
    <t>E-136</t>
  </si>
  <si>
    <t>Phoebe Buffay</t>
  </si>
  <si>
    <t>phoebe.buffay@demomail.com</t>
  </si>
  <si>
    <t>207 North Denver Street</t>
  </si>
  <si>
    <t>E-137</t>
  </si>
  <si>
    <t>Ben Van Lier</t>
  </si>
  <si>
    <t>Travelling Salesperson</t>
  </si>
  <si>
    <t>ben.lier@demomail.com</t>
  </si>
  <si>
    <t>433 Nancy Circle</t>
  </si>
  <si>
    <t>E-138</t>
  </si>
  <si>
    <t>Adam King</t>
  </si>
  <si>
    <t>adam.king@demomail.com</t>
  </si>
  <si>
    <t>7982 Crescent Oaks Park</t>
  </si>
  <si>
    <t>E-139</t>
  </si>
  <si>
    <t>Rowan Bettjeman</t>
  </si>
  <si>
    <t>rowan.bettjeman@demomail.com</t>
  </si>
  <si>
    <t>1325 Belgrove Place</t>
  </si>
  <si>
    <t>E-140</t>
  </si>
  <si>
    <t>Ellie Harwood</t>
  </si>
  <si>
    <t>ellie.harwood@demomail.com</t>
  </si>
  <si>
    <t>5737 Moose Alley</t>
  </si>
  <si>
    <t>E-141</t>
  </si>
  <si>
    <t>Britt Scott Clark</t>
  </si>
  <si>
    <t>britt.clark@demomail.com</t>
  </si>
  <si>
    <t>812 Memorial Trail</t>
  </si>
  <si>
    <t>E-142</t>
  </si>
  <si>
    <t>Alan Morrison</t>
  </si>
  <si>
    <t>alan.morrison@demomail.com</t>
  </si>
  <si>
    <t>6 Old Gate Hill</t>
  </si>
  <si>
    <t>E-143</t>
  </si>
  <si>
    <t>Hamish Parkinson</t>
  </si>
  <si>
    <t>hamish.parkinson@demomail.com</t>
  </si>
  <si>
    <t>776 High Crossing Court</t>
  </si>
  <si>
    <t>E-144</t>
  </si>
  <si>
    <t>Byron Coll</t>
  </si>
  <si>
    <t>byron.coll@demomail.com</t>
  </si>
  <si>
    <t>71648 Truax Center</t>
  </si>
  <si>
    <t>E-145</t>
  </si>
  <si>
    <t>John Blake</t>
  </si>
  <si>
    <t>246 Del Monte Court</t>
  </si>
  <si>
    <t>E-146</t>
  </si>
  <si>
    <t>Stewart Broad</t>
  </si>
  <si>
    <t>343 Redmond Street</t>
  </si>
  <si>
    <t>E-147</t>
  </si>
  <si>
    <t>Dimitry Berbatov</t>
  </si>
  <si>
    <t>91 Pierce Street</t>
  </si>
  <si>
    <t>E-148</t>
  </si>
  <si>
    <t>Philip Hugo</t>
  </si>
  <si>
    <t>Assistant Sales Manager</t>
  </si>
  <si>
    <t>43 Bishop Drive</t>
  </si>
  <si>
    <t>E-149</t>
  </si>
  <si>
    <t>Amanda Strong</t>
  </si>
  <si>
    <t>15 Jockey Hollow Street</t>
  </si>
  <si>
    <t>E-150</t>
  </si>
  <si>
    <t>Leah Heather</t>
  </si>
  <si>
    <t>482 East Hanford</t>
  </si>
  <si>
    <t>Count of Empty Cells</t>
  </si>
  <si>
    <t>If emp. Joined before may:</t>
  </si>
  <si>
    <t>john.blake@demomail.com</t>
  </si>
  <si>
    <t>stewart.broad@demomail.com</t>
  </si>
  <si>
    <t>dimitry.barbatov@demomail.com</t>
  </si>
  <si>
    <t>philip.hugo@demomail.com</t>
  </si>
  <si>
    <t>amanda.strong@demomail.com</t>
  </si>
  <si>
    <t>leah.heather@demomail.com</t>
  </si>
  <si>
    <t>Q1. Number of Female Employees</t>
  </si>
  <si>
    <t>Q2. Sales Generated by the Female Employees</t>
  </si>
  <si>
    <t>Q3. Number of Employees Joined before May, 2022</t>
  </si>
  <si>
    <t>Q4. Sales Generated by the Travelling Salesperson</t>
  </si>
  <si>
    <t>Sort the pokemon data were the names are sorted alphabetically &amp; Attack speed higher to lower range</t>
  </si>
  <si>
    <t>#</t>
  </si>
  <si>
    <t>Type 1</t>
  </si>
  <si>
    <t>Type 2</t>
  </si>
  <si>
    <t>Total</t>
  </si>
  <si>
    <t>HP</t>
  </si>
  <si>
    <t>Attack</t>
  </si>
  <si>
    <t>Defense</t>
  </si>
  <si>
    <t>Sp. Atk</t>
  </si>
  <si>
    <t>Sp. Def</t>
  </si>
  <si>
    <t>Speed</t>
  </si>
  <si>
    <t>Stage</t>
  </si>
  <si>
    <t>Legendary</t>
  </si>
  <si>
    <t>Bulbasaur</t>
  </si>
  <si>
    <t>Grass</t>
  </si>
  <si>
    <t>Poison</t>
  </si>
  <si>
    <t>Ivysaur</t>
  </si>
  <si>
    <t>Venusaur</t>
  </si>
  <si>
    <t>Charmander</t>
  </si>
  <si>
    <t>Fire</t>
  </si>
  <si>
    <t>Charmeleon</t>
  </si>
  <si>
    <t>Charizard</t>
  </si>
  <si>
    <t>Flying</t>
  </si>
  <si>
    <t>Squirtle</t>
  </si>
  <si>
    <t>Water</t>
  </si>
  <si>
    <t>Wartortle</t>
  </si>
  <si>
    <t>Blastoise</t>
  </si>
  <si>
    <t>Caterpie</t>
  </si>
  <si>
    <t>Bug</t>
  </si>
  <si>
    <t>Metapod</t>
  </si>
  <si>
    <t>Butterfree</t>
  </si>
  <si>
    <t>Weedle</t>
  </si>
  <si>
    <t>Kakuna</t>
  </si>
  <si>
    <t>Beedrill</t>
  </si>
  <si>
    <t>Pidgey</t>
  </si>
  <si>
    <t>Normal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</si>
  <si>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</si>
  <si>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</si>
  <si>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</si>
  <si>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</si>
  <si>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</si>
  <si>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</si>
  <si>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</si>
  <si>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</si>
  <si>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Pikachu</t>
  </si>
  <si>
    <t>Electric</t>
  </si>
  <si>
    <t>Raichu</t>
  </si>
  <si>
    <t>Sandshrew</t>
  </si>
  <si>
    <t>Ground</t>
  </si>
  <si>
    <t>Sandslash</t>
  </si>
  <si>
    <t>Nidoran‰ªÛ</t>
  </si>
  <si>
    <t>Nidorina</t>
  </si>
  <si>
    <t>Nidoqueen</t>
  </si>
  <si>
    <t>Nidoran‰ªâ</t>
  </si>
  <si>
    <t>Nidorino</t>
  </si>
  <si>
    <t>Nidoking</t>
  </si>
  <si>
    <t>Clefairy</t>
  </si>
  <si>
    <t>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</si>
  <si>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</si>
  <si>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</si>
  <si>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</si>
  <si>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</si>
  <si>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</si>
  <si>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</si>
  <si>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</si>
  <si>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</si>
  <si>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</si>
  <si>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</si>
  <si>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</si>
  <si>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</si>
  <si>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</si>
  <si>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</si>
  <si>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</si>
  <si>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</si>
  <si>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</si>
  <si>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</si>
  <si>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</si>
  <si>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</si>
  <si>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</si>
  <si>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Fighting</t>
  </si>
  <si>
    <t>Primeape</t>
  </si>
  <si>
    <t>Growlithe</t>
  </si>
  <si>
    <t>Arcanine</t>
  </si>
  <si>
    <t>Poliwag</t>
  </si>
  <si>
    <t>Poliwhirl</t>
  </si>
  <si>
    <t>Poliwrath</t>
  </si>
  <si>
    <t>Abra</t>
  </si>
  <si>
    <t>Psychic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</si>
  <si>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</si>
  <si>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</si>
  <si>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</si>
  <si>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</si>
  <si>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</si>
  <si>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</si>
  <si>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</si>
  <si>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</si>
  <si>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</si>
  <si>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</si>
  <si>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</si>
  <si>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Rock</t>
  </si>
  <si>
    <t>Graveler</t>
  </si>
  <si>
    <t>Golem</t>
  </si>
  <si>
    <t>Ponyta</t>
  </si>
  <si>
    <t>Rapidash</t>
  </si>
  <si>
    <t>Slowpoke</t>
  </si>
  <si>
    <t>Slowbro</t>
  </si>
  <si>
    <t>Magnemite</t>
  </si>
  <si>
    <t>Steel</t>
  </si>
  <si>
    <t>Magneton</t>
  </si>
  <si>
    <t>Farfetch'd</t>
  </si>
  <si>
    <t>Doduo</t>
  </si>
  <si>
    <t>Dodrio</t>
  </si>
  <si>
    <t>Seel</t>
  </si>
  <si>
    <t>Dewgong</t>
  </si>
  <si>
    <t>Ice</t>
  </si>
  <si>
    <t>Grimer</t>
  </si>
  <si>
    <t>Muk</t>
  </si>
  <si>
    <t>Shellder</t>
  </si>
  <si>
    <t>Cloyster</t>
  </si>
  <si>
    <t>Gastly</t>
  </si>
  <si>
    <t>Ghost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</si>
  <si>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</si>
  <si>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</si>
  <si>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</si>
  <si>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</si>
  <si>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</si>
  <si>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</si>
  <si>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</si>
  <si>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</si>
  <si>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</si>
  <si>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</si>
  <si>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</si>
  <si>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</si>
  <si>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</si>
  <si>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</si>
  <si>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</si>
  <si>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</si>
  <si>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</si>
  <si>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</si>
  <si>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</si>
  <si>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</si>
  <si>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</si>
  <si>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</si>
  <si>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</si>
  <si>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</si>
  <si>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</si>
  <si>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</si>
  <si>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</si>
  <si>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</si>
  <si>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</si>
  <si>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</si>
  <si>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</si>
  <si>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</si>
  <si>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</si>
  <si>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</si>
  <si>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</si>
  <si>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</si>
  <si>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</si>
  <si>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</si>
  <si>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</si>
  <si>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</si>
  <si>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</si>
  <si>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</si>
  <si>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</si>
  <si>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</si>
  <si>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</si>
  <si>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</si>
  <si>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</si>
  <si>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</si>
  <si>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</si>
  <si>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</si>
  <si>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</si>
  <si>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</si>
  <si>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</si>
  <si>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</si>
  <si>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Dratini</t>
  </si>
  <si>
    <t>Dragon</t>
  </si>
  <si>
    <t>Dragonair</t>
  </si>
  <si>
    <t>Dragonite</t>
  </si>
  <si>
    <t>Mewtwo</t>
  </si>
  <si>
    <t>Mew</t>
  </si>
  <si>
    <t>Filter out the data where the pokemon's type is "Poison" &amp; Stage is 1 or 3</t>
  </si>
  <si>
    <t>Filter the data where the pokemons name starts with C &amp; having a speed less than 80</t>
  </si>
  <si>
    <t>Filter the customers who are Male &amp; have an age greater than 22.</t>
  </si>
  <si>
    <t>CustomerID</t>
  </si>
  <si>
    <t>Genre</t>
  </si>
  <si>
    <t>Age</t>
  </si>
  <si>
    <t>Annual Income (k$)</t>
  </si>
  <si>
    <t>Spending Score (1-100)</t>
  </si>
  <si>
    <t>Sort the Territories in Ascending order &amp; the sales values according to the territories smallest to largest.</t>
  </si>
  <si>
    <t>State Code</t>
  </si>
  <si>
    <t>State</t>
  </si>
  <si>
    <t>Market</t>
  </si>
  <si>
    <t>Market Size</t>
  </si>
  <si>
    <t>Territory</t>
  </si>
  <si>
    <t>Office Sales</t>
  </si>
  <si>
    <t>Texas</t>
  </si>
  <si>
    <t>West</t>
  </si>
  <si>
    <t>Small</t>
  </si>
  <si>
    <t>South</t>
  </si>
  <si>
    <t>East</t>
  </si>
  <si>
    <t>North</t>
  </si>
  <si>
    <t>Major</t>
  </si>
  <si>
    <t>Ohio</t>
  </si>
  <si>
    <t>Central</t>
  </si>
  <si>
    <t>Washington</t>
  </si>
  <si>
    <t xml:space="preserve"> Filter the data where Job ids are starting with F. &amp; the Department id sholud also be greater than 50</t>
  </si>
  <si>
    <t>Employee_id</t>
  </si>
  <si>
    <t>First_name</t>
  </si>
  <si>
    <t>Last_name</t>
  </si>
  <si>
    <t>Phone_no</t>
  </si>
  <si>
    <t>Hire_data</t>
  </si>
  <si>
    <t>Job_id</t>
  </si>
  <si>
    <t>Salary</t>
  </si>
  <si>
    <t>Commision_pct</t>
  </si>
  <si>
    <t>Manager_id</t>
  </si>
  <si>
    <t>Department_id</t>
  </si>
  <si>
    <t>Steven</t>
  </si>
  <si>
    <t>King</t>
  </si>
  <si>
    <t>StevenKing@axis.com</t>
  </si>
  <si>
    <t>515.123.4567</t>
  </si>
  <si>
    <t xml:space="preserve">AD_PRES </t>
  </si>
  <si>
    <t>Neena</t>
  </si>
  <si>
    <t>Kochhar</t>
  </si>
  <si>
    <t>NeenaKochhar@axis.com</t>
  </si>
  <si>
    <t>515.123.4568</t>
  </si>
  <si>
    <t>AD_VP</t>
  </si>
  <si>
    <t>Lex</t>
  </si>
  <si>
    <t>De han</t>
  </si>
  <si>
    <t>LexDe han@axis.com</t>
  </si>
  <si>
    <t>515.123.4569</t>
  </si>
  <si>
    <t>Alexander</t>
  </si>
  <si>
    <t>Hunld</t>
  </si>
  <si>
    <t>AlexanderHunld@axis.com</t>
  </si>
  <si>
    <t>590.423.4567</t>
  </si>
  <si>
    <t>IT_PROG</t>
  </si>
  <si>
    <t>Bruce</t>
  </si>
  <si>
    <t>Erbst</t>
  </si>
  <si>
    <t>BruceErbst@axis.com</t>
  </si>
  <si>
    <t>590.423.4568</t>
  </si>
  <si>
    <t>David</t>
  </si>
  <si>
    <t>Austin</t>
  </si>
  <si>
    <t>DavidAustin@axis.com</t>
  </si>
  <si>
    <t>590.423.4569</t>
  </si>
  <si>
    <t>Valli</t>
  </si>
  <si>
    <t>Patabalia</t>
  </si>
  <si>
    <t>ValliPatabalia@axis.com</t>
  </si>
  <si>
    <t>590.423.4570</t>
  </si>
  <si>
    <t>Diana</t>
  </si>
  <si>
    <t>Lorentz</t>
  </si>
  <si>
    <t>DianaLorentz@axis.com</t>
  </si>
  <si>
    <t>590.423.4571</t>
  </si>
  <si>
    <t>Nancy</t>
  </si>
  <si>
    <t>Greenberg</t>
  </si>
  <si>
    <t>NancyGreenberg@axis.com</t>
  </si>
  <si>
    <t>515.124.4169</t>
  </si>
  <si>
    <t>FI_MGR</t>
  </si>
  <si>
    <t>Daniel</t>
  </si>
  <si>
    <t>Faviet</t>
  </si>
  <si>
    <t>DanielFaviet@axis.com</t>
  </si>
  <si>
    <t>515.124.4170</t>
  </si>
  <si>
    <t>FI_ACCOUNT</t>
  </si>
  <si>
    <t>John</t>
  </si>
  <si>
    <t>Chen</t>
  </si>
  <si>
    <t>JohnChen@axis.com</t>
  </si>
  <si>
    <t>515.124.4171</t>
  </si>
  <si>
    <t>Ismael</t>
  </si>
  <si>
    <t>Sciarra</t>
  </si>
  <si>
    <t>IsmaelSciarra@axis.com</t>
  </si>
  <si>
    <t>515.124.4172</t>
  </si>
  <si>
    <t>Jose Manuel</t>
  </si>
  <si>
    <t>Urman</t>
  </si>
  <si>
    <t>Jose ManuelUrman@axis.com</t>
  </si>
  <si>
    <t>515.124.4173</t>
  </si>
  <si>
    <t>Luis</t>
  </si>
  <si>
    <t>Popp</t>
  </si>
  <si>
    <t>LuisPopp@axis.com</t>
  </si>
  <si>
    <t>515.124.4174</t>
  </si>
  <si>
    <t xml:space="preserve">Den </t>
  </si>
  <si>
    <t>Raphely</t>
  </si>
  <si>
    <t>DenRaphely@axis.com</t>
  </si>
  <si>
    <t>515.127.4561</t>
  </si>
  <si>
    <t>PU_MAN</t>
  </si>
  <si>
    <t>Khoo</t>
  </si>
  <si>
    <t>AlexanderKhoo@axis.com</t>
  </si>
  <si>
    <t>515.127.4562</t>
  </si>
  <si>
    <t xml:space="preserve">PU_CLERK </t>
  </si>
  <si>
    <t>Shelli</t>
  </si>
  <si>
    <t>Baida</t>
  </si>
  <si>
    <t>ShelliBaida@axis.com</t>
  </si>
  <si>
    <t>515.127.4563</t>
  </si>
  <si>
    <t>Shegal</t>
  </si>
  <si>
    <t>Tobies</t>
  </si>
  <si>
    <t>ShegalTobies@axis.com</t>
  </si>
  <si>
    <t>515.127.4564</t>
  </si>
  <si>
    <t xml:space="preserve">Guy </t>
  </si>
  <si>
    <t>Himuro</t>
  </si>
  <si>
    <t>GuyHimuro@axis.com</t>
  </si>
  <si>
    <t>515.127.4565</t>
  </si>
  <si>
    <t>Karen</t>
  </si>
  <si>
    <t>Colmenras</t>
  </si>
  <si>
    <t>KarenColmenras@axis.com</t>
  </si>
  <si>
    <t>515.127.4566</t>
  </si>
  <si>
    <t>Mathew</t>
  </si>
  <si>
    <t>Weiss</t>
  </si>
  <si>
    <t>MathewWeiss@axis.com</t>
  </si>
  <si>
    <t>650.123.1234</t>
  </si>
  <si>
    <t>ST_MAN</t>
  </si>
  <si>
    <t>Adam</t>
  </si>
  <si>
    <t>Fripp</t>
  </si>
  <si>
    <t>AdamFripp@axis.com</t>
  </si>
  <si>
    <t>650.123.1235</t>
  </si>
  <si>
    <t xml:space="preserve">Payam </t>
  </si>
  <si>
    <t>Kaufling</t>
  </si>
  <si>
    <t>PayamKaufling@axis.com</t>
  </si>
  <si>
    <t>650.123.1236</t>
  </si>
  <si>
    <t>Shanta</t>
  </si>
  <si>
    <t>Vollam</t>
  </si>
  <si>
    <t>ShantaVollam@axis.com</t>
  </si>
  <si>
    <t>650.123.1237</t>
  </si>
  <si>
    <t>Kevin</t>
  </si>
  <si>
    <t>Mourgos</t>
  </si>
  <si>
    <t>KevinMourgos@axis.com</t>
  </si>
  <si>
    <t>650.123.1238</t>
  </si>
  <si>
    <t>Julia</t>
  </si>
  <si>
    <t>Nayer</t>
  </si>
  <si>
    <t>JuliaNayer@axis.com</t>
  </si>
  <si>
    <t>650.123.1239</t>
  </si>
  <si>
    <t>ST_CLERK</t>
  </si>
  <si>
    <t>Irene</t>
  </si>
  <si>
    <t>Mikkilineni</t>
  </si>
  <si>
    <t>IreneMikkilineni@axis.com</t>
  </si>
  <si>
    <t>650.123.1240</t>
  </si>
  <si>
    <t>James</t>
  </si>
  <si>
    <t>Landry</t>
  </si>
  <si>
    <t>JamesLandry@axis.com</t>
  </si>
  <si>
    <t>650.123.1241</t>
  </si>
  <si>
    <t>Markle</t>
  </si>
  <si>
    <t>StevenMarkle@axis.com</t>
  </si>
  <si>
    <t>650.423.1242</t>
  </si>
  <si>
    <t>Laura</t>
  </si>
  <si>
    <t>Bissot</t>
  </si>
  <si>
    <t>LauraBissot@axis.com</t>
  </si>
  <si>
    <t>650.123.1243</t>
  </si>
  <si>
    <t>Mozhe</t>
  </si>
  <si>
    <t>Atkinson</t>
  </si>
  <si>
    <t>MozheAtkinson@axis.com</t>
  </si>
  <si>
    <t>650.103.1244</t>
  </si>
  <si>
    <t>Marlow</t>
  </si>
  <si>
    <t>JamesMarlow@axis.com</t>
  </si>
  <si>
    <t>650.123.1245</t>
  </si>
  <si>
    <t>TJ</t>
  </si>
  <si>
    <t>olsom</t>
  </si>
  <si>
    <t>TJolsom@axis.com</t>
  </si>
  <si>
    <t>651.123.1246</t>
  </si>
  <si>
    <t>Jason</t>
  </si>
  <si>
    <t>mallin</t>
  </si>
  <si>
    <t>Jasonmallin@axis.com</t>
  </si>
  <si>
    <t>650.123.1247</t>
  </si>
  <si>
    <t>Michael</t>
  </si>
  <si>
    <t>Rogers</t>
  </si>
  <si>
    <t>MichaelRogers@axis.com</t>
  </si>
  <si>
    <t>650.111.1248</t>
  </si>
  <si>
    <t>Ki</t>
  </si>
  <si>
    <t>Gee</t>
  </si>
  <si>
    <t>KiGee@axis.com</t>
  </si>
  <si>
    <t>650.123.3947</t>
  </si>
  <si>
    <t>Hazel</t>
  </si>
  <si>
    <t>Philtankar</t>
  </si>
  <si>
    <t>HazelPhiltankar@axis.com</t>
  </si>
  <si>
    <t>650.123.1222</t>
  </si>
  <si>
    <t>Renzhe</t>
  </si>
  <si>
    <t>Ladwig</t>
  </si>
  <si>
    <t>RenzheLadwig@axis.com</t>
  </si>
  <si>
    <t>650.123.1010</t>
  </si>
  <si>
    <t>Stephen</t>
  </si>
  <si>
    <t>Stiles</t>
  </si>
  <si>
    <t>StephenStiles@axis.com</t>
  </si>
  <si>
    <t>650.123.1512</t>
  </si>
  <si>
    <t>Seo</t>
  </si>
  <si>
    <t>JohnSeo@axis.com</t>
  </si>
  <si>
    <t>650.123.0200</t>
  </si>
  <si>
    <t>Joshua</t>
  </si>
  <si>
    <t>Patel</t>
  </si>
  <si>
    <t>JoshuaPatel@axis.com</t>
  </si>
  <si>
    <t>650.121.1254</t>
  </si>
  <si>
    <t>Trenna</t>
  </si>
  <si>
    <t>Raj</t>
  </si>
  <si>
    <t>TrennaRaj@axis.com</t>
  </si>
  <si>
    <t>650.223.1255</t>
  </si>
  <si>
    <t>Curtis</t>
  </si>
  <si>
    <t>Davies</t>
  </si>
  <si>
    <t>CurtisDavies@axis.com</t>
  </si>
  <si>
    <t>650.123.1256</t>
  </si>
  <si>
    <t>Randal</t>
  </si>
  <si>
    <t>Matos</t>
  </si>
  <si>
    <t>RandalMatos@axis.com</t>
  </si>
  <si>
    <t>Peter</t>
  </si>
  <si>
    <t>Vargos</t>
  </si>
  <si>
    <t>PeterVargos@axis.com</t>
  </si>
  <si>
    <t>650.123.1268</t>
  </si>
  <si>
    <t>Russell</t>
  </si>
  <si>
    <t>JohnRussell@axis.com</t>
  </si>
  <si>
    <t>011.44.1366</t>
  </si>
  <si>
    <t xml:space="preserve">SA_MAN </t>
  </si>
  <si>
    <t>Partners</t>
  </si>
  <si>
    <t>KarenPartners@axis.com</t>
  </si>
  <si>
    <t>011.44.1345</t>
  </si>
  <si>
    <t>Alberto</t>
  </si>
  <si>
    <t>Errazuriz</t>
  </si>
  <si>
    <t>AlbertoErrazuriz@axis.com</t>
  </si>
  <si>
    <t>011.44.1046</t>
  </si>
  <si>
    <t>Gerald</t>
  </si>
  <si>
    <t>Cambrult</t>
  </si>
  <si>
    <t>GeraldCambrult@axis.com</t>
  </si>
  <si>
    <t>011.44.1347</t>
  </si>
  <si>
    <t>Eleni</t>
  </si>
  <si>
    <t>Zlotkey</t>
  </si>
  <si>
    <t>EleniZlotkey@axis.com</t>
  </si>
  <si>
    <t>011.44.1348</t>
  </si>
  <si>
    <t>Tucker</t>
  </si>
  <si>
    <t>PeterTucker@axis.com</t>
  </si>
  <si>
    <t>011.44.1349</t>
  </si>
  <si>
    <t>SA_REP</t>
  </si>
  <si>
    <t>Bernstein</t>
  </si>
  <si>
    <t>DavidBernstein@axis.com</t>
  </si>
  <si>
    <t>011.14.1350</t>
  </si>
  <si>
    <t>Hall</t>
  </si>
  <si>
    <t>PeterHall@axis.com</t>
  </si>
  <si>
    <t>111.44.1110</t>
  </si>
  <si>
    <t>Christopher</t>
  </si>
  <si>
    <t>Olsen</t>
  </si>
  <si>
    <t>ChristopherOlsen@axis.com</t>
  </si>
  <si>
    <t>011.40.1352</t>
  </si>
  <si>
    <t>Nanitte</t>
  </si>
  <si>
    <t>NanitteCambrult@axis.com</t>
  </si>
  <si>
    <t>011.44.1353</t>
  </si>
  <si>
    <t>Oliver</t>
  </si>
  <si>
    <t>Truvault</t>
  </si>
  <si>
    <t>OliverTruvault@axis.com</t>
  </si>
  <si>
    <t>011.44.1264</t>
  </si>
  <si>
    <t>Jannette</t>
  </si>
  <si>
    <t>JannetteKing@axis.com</t>
  </si>
  <si>
    <t>011.44.6666</t>
  </si>
  <si>
    <t>Patrick</t>
  </si>
  <si>
    <t>Sulli</t>
  </si>
  <si>
    <t>PatrickSulli@axis.com</t>
  </si>
  <si>
    <t>011.04.1395</t>
  </si>
  <si>
    <t>Allan</t>
  </si>
  <si>
    <t>McEwen</t>
  </si>
  <si>
    <t>AllanMcEwen@axis.com</t>
  </si>
  <si>
    <t>011.44.0357</t>
  </si>
  <si>
    <t>Lindsey</t>
  </si>
  <si>
    <t>Smith</t>
  </si>
  <si>
    <t>LindseySmith@axis.com</t>
  </si>
  <si>
    <t>011.44.1118</t>
  </si>
  <si>
    <t>Louse</t>
  </si>
  <si>
    <t>Doran</t>
  </si>
  <si>
    <t>LouseDoran@axis.com</t>
  </si>
  <si>
    <t>011.44.1359</t>
  </si>
  <si>
    <t>Sarette</t>
  </si>
  <si>
    <t>Sewall</t>
  </si>
  <si>
    <t>SaretteSewall@axis.com</t>
  </si>
  <si>
    <t>011.41.1300</t>
  </si>
  <si>
    <t>Clara</t>
  </si>
  <si>
    <t>ClaraDoran@axis.com</t>
  </si>
  <si>
    <t>011.04.1360</t>
  </si>
  <si>
    <t>Vishney</t>
  </si>
  <si>
    <t>DanielVishney@axis.com</t>
  </si>
  <si>
    <t>011.44.9360</t>
  </si>
  <si>
    <t>Mattea</t>
  </si>
  <si>
    <t>Greene</t>
  </si>
  <si>
    <t>MatteaGreene@axis.com</t>
  </si>
  <si>
    <t>011.44.1333</t>
  </si>
  <si>
    <t>Marvins</t>
  </si>
  <si>
    <t>DavidMarvins@axis.com</t>
  </si>
  <si>
    <t>010.44.2364</t>
  </si>
  <si>
    <t>Sundar</t>
  </si>
  <si>
    <t>Lee</t>
  </si>
  <si>
    <t>SundarLee@axis.com</t>
  </si>
  <si>
    <t>011.44.5616</t>
  </si>
  <si>
    <t>Amit</t>
  </si>
  <si>
    <t>Ande</t>
  </si>
  <si>
    <t>AmitAnde@axis.com</t>
  </si>
  <si>
    <t>011.44.8888</t>
  </si>
  <si>
    <t>Lisa</t>
  </si>
  <si>
    <t>Banda</t>
  </si>
  <si>
    <t>LisaBanda@axis.com</t>
  </si>
  <si>
    <t>018.44.1747</t>
  </si>
  <si>
    <t>Harrison</t>
  </si>
  <si>
    <t>Ozer</t>
  </si>
  <si>
    <t>HarrisonOzer@axis.com</t>
  </si>
  <si>
    <t>011.44.1368</t>
  </si>
  <si>
    <t>Tayler</t>
  </si>
  <si>
    <t>Bloom</t>
  </si>
  <si>
    <t>TaylerBloom@axis.com</t>
  </si>
  <si>
    <t>011.48.1960</t>
  </si>
  <si>
    <t>William</t>
  </si>
  <si>
    <t>Fox</t>
  </si>
  <si>
    <t>WilliamFox@axis.com</t>
  </si>
  <si>
    <t>011.44.1000</t>
  </si>
  <si>
    <t>Elizabeth</t>
  </si>
  <si>
    <t>ElizabethSmith@axis.com</t>
  </si>
  <si>
    <t>019.44.1891</t>
  </si>
  <si>
    <t>Sudita</t>
  </si>
  <si>
    <t>Bates</t>
  </si>
  <si>
    <t>SuditaBates@axis.com</t>
  </si>
  <si>
    <t>011.44.1372</t>
  </si>
  <si>
    <t>Ellen</t>
  </si>
  <si>
    <t>Kumar</t>
  </si>
  <si>
    <t>EllenKumar@axis.com</t>
  </si>
  <si>
    <t>011.84.5373</t>
  </si>
  <si>
    <t>Allysa</t>
  </si>
  <si>
    <t>Abel</t>
  </si>
  <si>
    <t>AllysaAbel@axis.com</t>
  </si>
  <si>
    <t>011.44.1374</t>
  </si>
  <si>
    <t>Jonathon</t>
  </si>
  <si>
    <t>Hutton</t>
  </si>
  <si>
    <t>JonathonHutton@axis.com</t>
  </si>
  <si>
    <t>011.44.1472</t>
  </si>
  <si>
    <t>Jack</t>
  </si>
  <si>
    <t>Tayloer</t>
  </si>
  <si>
    <t>JackTayloer@axis.com</t>
  </si>
  <si>
    <t>011.44.1006</t>
  </si>
  <si>
    <t>Kimberely</t>
  </si>
  <si>
    <t>Livingston</t>
  </si>
  <si>
    <t>KimberelyLivingston@axis.com</t>
  </si>
  <si>
    <t>011.44.1377</t>
  </si>
  <si>
    <t>Charles</t>
  </si>
  <si>
    <t>Grant</t>
  </si>
  <si>
    <t>CharlesGrant@axis.com</t>
  </si>
  <si>
    <t>011.44.1378</t>
  </si>
  <si>
    <t>Winston</t>
  </si>
  <si>
    <t>Johnson</t>
  </si>
  <si>
    <t>WinstonJohnson@axis.com</t>
  </si>
  <si>
    <t>690.615.9897</t>
  </si>
  <si>
    <t>Jean</t>
  </si>
  <si>
    <t>Taylor</t>
  </si>
  <si>
    <t>JeanTaylor@axis.com</t>
  </si>
  <si>
    <t>650.615.9898</t>
  </si>
  <si>
    <t>SH_CLERK</t>
  </si>
  <si>
    <t>Marttha</t>
  </si>
  <si>
    <t>Fleaur</t>
  </si>
  <si>
    <t>MartthaFleaur@axis.com</t>
  </si>
  <si>
    <t>650.665.9899</t>
  </si>
  <si>
    <t>Girard</t>
  </si>
  <si>
    <t>Sullivan</t>
  </si>
  <si>
    <t>GirardSullivan@axis.com</t>
  </si>
  <si>
    <t>650.615.9900</t>
  </si>
  <si>
    <t>nandita</t>
  </si>
  <si>
    <t>Geoni</t>
  </si>
  <si>
    <t>nanditaGeoni@axis.com</t>
  </si>
  <si>
    <t>650.615.9901</t>
  </si>
  <si>
    <t>Alexis</t>
  </si>
  <si>
    <t>Sarchand</t>
  </si>
  <si>
    <t>AlexisSarchand@axis.com</t>
  </si>
  <si>
    <t>650.115.9902</t>
  </si>
  <si>
    <t>Bull</t>
  </si>
  <si>
    <t>JuliaBull@axis.com</t>
  </si>
  <si>
    <t>210.615.9933</t>
  </si>
  <si>
    <t>Anthony</t>
  </si>
  <si>
    <t>Dellinger</t>
  </si>
  <si>
    <t>AnthonyDellinger@axis.com</t>
  </si>
  <si>
    <t>666.615.9004</t>
  </si>
  <si>
    <t>Jennifer</t>
  </si>
  <si>
    <t>Cabrio</t>
  </si>
  <si>
    <t>JenniferCabrio@axis.com</t>
  </si>
  <si>
    <t>650.215.9105</t>
  </si>
  <si>
    <t>Timothy</t>
  </si>
  <si>
    <t>Chung</t>
  </si>
  <si>
    <t>TimothyChung@axis.com</t>
  </si>
  <si>
    <t>550.115.1901</t>
  </si>
  <si>
    <t xml:space="preserve">Randal </t>
  </si>
  <si>
    <t>Dillu</t>
  </si>
  <si>
    <t>RandalDillu@axis.com</t>
  </si>
  <si>
    <t>651.615.1007</t>
  </si>
  <si>
    <t>Sarah</t>
  </si>
  <si>
    <t>Gates</t>
  </si>
  <si>
    <t>SarahGates@axis.com</t>
  </si>
  <si>
    <t>650.611.9908</t>
  </si>
  <si>
    <t>Britney</t>
  </si>
  <si>
    <t>Perkins</t>
  </si>
  <si>
    <t>BritneyPerkins@axis.com</t>
  </si>
  <si>
    <t>650.615.9909</t>
  </si>
  <si>
    <t>Samuel</t>
  </si>
  <si>
    <t>Bell</t>
  </si>
  <si>
    <t>SamuelBell@axis.com</t>
  </si>
  <si>
    <t>651.625.7710</t>
  </si>
  <si>
    <t>Vens</t>
  </si>
  <si>
    <t>Everett</t>
  </si>
  <si>
    <t>VensEverett@axis.com</t>
  </si>
  <si>
    <t>650.615.9911</t>
  </si>
  <si>
    <t>Alana</t>
  </si>
  <si>
    <t>McCain</t>
  </si>
  <si>
    <t>AlanaMcCain@axis.com</t>
  </si>
  <si>
    <t>650.665.0012</t>
  </si>
  <si>
    <t>Jones</t>
  </si>
  <si>
    <t>KevinJones@axis.com</t>
  </si>
  <si>
    <t>650.615.9913</t>
  </si>
  <si>
    <t>Donald</t>
  </si>
  <si>
    <t>Waish</t>
  </si>
  <si>
    <t>DonaldWaish@axis.com</t>
  </si>
  <si>
    <t>650.615.1914</t>
  </si>
  <si>
    <t>Douglas</t>
  </si>
  <si>
    <t>Feeney</t>
  </si>
  <si>
    <t>DouglasFeeney@axis.com</t>
  </si>
  <si>
    <t>650.610.1905</t>
  </si>
  <si>
    <t>Oconnell</t>
  </si>
  <si>
    <t>MichaelOconnell@axis.com</t>
  </si>
  <si>
    <t>650.615.9916</t>
  </si>
  <si>
    <t>Jeniffer</t>
  </si>
  <si>
    <t>Walsh</t>
  </si>
  <si>
    <t>JenifferWalsh@axis.com</t>
  </si>
  <si>
    <t>515.123.6667</t>
  </si>
  <si>
    <t>AD_ASST</t>
  </si>
  <si>
    <t>PatrickGrant@axis.com</t>
  </si>
  <si>
    <t>515.123.6968</t>
  </si>
  <si>
    <t>MK_MAN</t>
  </si>
  <si>
    <t>Susan</t>
  </si>
  <si>
    <t>Whalen</t>
  </si>
  <si>
    <t>SusanWhalen@axis.com</t>
  </si>
  <si>
    <t>515.123.7769</t>
  </si>
  <si>
    <t>MK_REP</t>
  </si>
  <si>
    <t>Pat</t>
  </si>
  <si>
    <t>Harstein</t>
  </si>
  <si>
    <t>PatHarstein@axis.com</t>
  </si>
  <si>
    <t>515.123.8880</t>
  </si>
  <si>
    <t>HR_REP</t>
  </si>
  <si>
    <t>Herma</t>
  </si>
  <si>
    <t>Marvis</t>
  </si>
  <si>
    <t>HermaMarvis@axis.com</t>
  </si>
  <si>
    <t>515.123.0001</t>
  </si>
  <si>
    <t>PR_REP</t>
  </si>
  <si>
    <t>Higgins</t>
  </si>
  <si>
    <t>ShelliHiggins@axis.com</t>
  </si>
  <si>
    <t>515.123.6221</t>
  </si>
  <si>
    <t>AC_MGR</t>
  </si>
  <si>
    <t>Willaim</t>
  </si>
  <si>
    <t>Gietz</t>
  </si>
  <si>
    <t>WillaimGietz@axis.com</t>
  </si>
  <si>
    <t>515.123.9873</t>
  </si>
  <si>
    <t>AC_ACCOUNT</t>
  </si>
  <si>
    <t xml:space="preserve"> Check If a Date Is Between Two Dates</t>
  </si>
  <si>
    <t>Date 1</t>
  </si>
  <si>
    <t>Date 2</t>
  </si>
  <si>
    <t>My Date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</si>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</sst>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"/>
    <numFmt numFmtId="165" formatCode="&quot;$&quot;#,##0_);[Red]\(&quot;$&quot;#,##0\)"/>
  </numFmts>
  <fonts count="14" x14ac:knownFonts="1">
    <font>
      <sz val="10"/>
      <color rgb="FF000000"/>
      <name val="Arial"/>
      <scheme val="minor"/>
    </font>
    <font>
      <sz val="18"/>
      <color theme="1"/>
      <name val="Bahnschrift"/>
    </font>
    <font>
      <sz val="10"/>
      <name val="Arial"/>
    </font>
    <font>
      <sz val="10"/>
      <color theme="1"/>
      <name val="Arial"/>
    </font>
    <font>
      <sz val="11"/>
      <color theme="1"/>
      <name val="Calibri"/>
    </font>
    <font>
      <sz val="10"/>
      <color rgb="FF000000"/>
      <name val="Arial"/>
    </font>
    <font>
      <b/>
      <sz val="14"/>
      <color rgb="FFFF0000"/>
      <name val="Calibri"/>
    </font>
    <font>
      <b/>
      <sz val="14"/>
      <color theme="1"/>
      <name val="Calibri"/>
    </font>
    <font>
      <sz val="12"/>
      <color theme="1"/>
      <name val="Calibri"/>
    </font>
    <font>
      <b/>
      <sz val="11"/>
      <color theme="1"/>
      <name val="Calibri"/>
    </font>
    <font>
      <sz val="13"/>
      <color theme="1"/>
      <name val="Arial"/>
    </font>
    <font>
      <b/>
      <sz val="13"/>
      <color theme="1"/>
      <name val="Arial"/>
    </font>
    <font>
      <b/>
      <sz val="18"/>
      <color theme="1"/>
      <name val="Calibri"/>
    </font>
    <font>
      <sz val="14"/>
      <color theme="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F7CAAC"/>
        <bgColor rgb="FFF7CAAC"/>
      </patternFill>
    </fill>
    <fill>
      <patternFill patternType="solid">
        <fgColor rgb="FFBF9000"/>
        <bgColor rgb="FFBF9000"/>
      </patternFill>
    </fill>
    <fill>
      <patternFill patternType="solid">
        <fgColor rgb="FFCCECFF"/>
        <bgColor rgb="FFCCECFF"/>
      </patternFill>
    </fill>
    <fill>
      <patternFill patternType="solid">
        <fgColor theme="0"/>
        <bgColor theme="0"/>
      </patternFill>
    </fill>
    <fill>
      <patternFill patternType="solid">
        <fgColor rgb="FFECFFCC"/>
        <bgColor rgb="FFECFFCC"/>
      </patternFill>
    </fill>
    <fill>
      <patternFill patternType="solid">
        <fgColor rgb="FFFFE599"/>
        <bgColor rgb="FFFFE599"/>
      </patternFill>
    </fill>
    <fill>
      <patternFill patternType="solid">
        <fgColor rgb="FF6FA8DC"/>
        <bgColor rgb="FF6FA8DC"/>
      </patternFill>
    </fill>
    <fill>
      <patternFill patternType="solid">
        <fgColor rgb="FFACB9CA"/>
        <bgColor rgb="FFACB9CA"/>
      </patternFill>
    </fill>
    <fill>
      <patternFill patternType="solid">
        <fgColor rgb="FFBDD6EE"/>
        <bgColor rgb="FFBDD6EE"/>
      </patternFill>
    </fill>
    <fill>
      <patternFill patternType="solid">
        <fgColor rgb="FFD9D9FF"/>
        <bgColor rgb="FFD9D9FF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3" fillId="0" borderId="4" xfId="0" applyFont="1" applyBorder="1"/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/>
    <xf numFmtId="0" fontId="4" fillId="0" borderId="4" xfId="0" applyFont="1" applyBorder="1"/>
    <xf numFmtId="0" fontId="3" fillId="0" borderId="10" xfId="0" applyFont="1" applyBorder="1"/>
    <xf numFmtId="0" fontId="3" fillId="0" borderId="0" xfId="0" applyFont="1"/>
    <xf numFmtId="0" fontId="3" fillId="0" borderId="12" xfId="0" applyFont="1" applyBorder="1"/>
    <xf numFmtId="14" fontId="4" fillId="0" borderId="16" xfId="0" applyNumberFormat="1" applyFont="1" applyBorder="1" applyAlignment="1">
      <alignment horizontal="right"/>
    </xf>
    <xf numFmtId="0" fontId="3" fillId="0" borderId="17" xfId="0" applyFont="1" applyBorder="1"/>
    <xf numFmtId="14" fontId="4" fillId="0" borderId="4" xfId="0" applyNumberFormat="1" applyFont="1" applyBorder="1" applyAlignment="1">
      <alignment horizontal="right"/>
    </xf>
    <xf numFmtId="0" fontId="5" fillId="0" borderId="0" xfId="0" applyFont="1"/>
    <xf numFmtId="0" fontId="5" fillId="0" borderId="20" xfId="0" applyFont="1" applyBorder="1" applyAlignment="1">
      <alignment horizontal="center"/>
    </xf>
    <xf numFmtId="0" fontId="4" fillId="0" borderId="17" xfId="0" applyFont="1" applyBorder="1"/>
    <xf numFmtId="0" fontId="6" fillId="0" borderId="12" xfId="0" applyFont="1" applyBorder="1"/>
    <xf numFmtId="0" fontId="7" fillId="5" borderId="6" xfId="0" applyFont="1" applyFill="1" applyBorder="1" applyAlignment="1">
      <alignment horizontal="center"/>
    </xf>
    <xf numFmtId="0" fontId="7" fillId="5" borderId="21" xfId="0" applyFont="1" applyFill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165" fontId="8" fillId="0" borderId="4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164" fontId="8" fillId="0" borderId="12" xfId="0" applyNumberFormat="1" applyFont="1" applyBorder="1" applyAlignment="1">
      <alignment horizontal="center"/>
    </xf>
    <xf numFmtId="0" fontId="3" fillId="6" borderId="20" xfId="0" applyFont="1" applyFill="1" applyBorder="1"/>
    <xf numFmtId="0" fontId="3" fillId="7" borderId="5" xfId="0" applyFont="1" applyFill="1" applyBorder="1"/>
    <xf numFmtId="0" fontId="7" fillId="5" borderId="20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22" xfId="0" applyFont="1" applyFill="1" applyBorder="1" applyAlignment="1">
      <alignment horizontal="center"/>
    </xf>
    <xf numFmtId="0" fontId="5" fillId="0" borderId="20" xfId="0" applyFont="1" applyBorder="1"/>
    <xf numFmtId="14" fontId="8" fillId="0" borderId="4" xfId="0" applyNumberFormat="1" applyFont="1" applyBorder="1" applyAlignment="1">
      <alignment horizontal="center"/>
    </xf>
    <xf numFmtId="165" fontId="8" fillId="0" borderId="12" xfId="0" applyNumberFormat="1" applyFont="1" applyBorder="1" applyAlignment="1">
      <alignment horizontal="center"/>
    </xf>
    <xf numFmtId="0" fontId="3" fillId="0" borderId="16" xfId="0" applyFont="1" applyBorder="1"/>
    <xf numFmtId="165" fontId="3" fillId="0" borderId="4" xfId="0" applyNumberFormat="1" applyFont="1" applyBorder="1"/>
    <xf numFmtId="14" fontId="5" fillId="0" borderId="0" xfId="0" applyNumberFormat="1" applyFont="1"/>
    <xf numFmtId="0" fontId="3" fillId="0" borderId="20" xfId="0" applyFont="1" applyBorder="1" applyAlignment="1">
      <alignment wrapText="1"/>
    </xf>
    <xf numFmtId="0" fontId="3" fillId="0" borderId="16" xfId="0" applyFont="1" applyBorder="1" applyAlignment="1">
      <alignment wrapText="1"/>
    </xf>
    <xf numFmtId="0" fontId="3" fillId="0" borderId="17" xfId="0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3" fillId="0" borderId="4" xfId="0" applyFont="1" applyBorder="1" applyAlignment="1">
      <alignment horizontal="center" wrapText="1"/>
    </xf>
    <xf numFmtId="0" fontId="3" fillId="0" borderId="23" xfId="0" applyFont="1" applyBorder="1" applyAlignment="1">
      <alignment wrapText="1"/>
    </xf>
    <xf numFmtId="0" fontId="3" fillId="0" borderId="12" xfId="0" applyFont="1" applyBorder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horizontal="right"/>
    </xf>
    <xf numFmtId="0" fontId="12" fillId="10" borderId="20" xfId="0" applyFont="1" applyFill="1" applyBorder="1" applyAlignment="1">
      <alignment horizontal="center"/>
    </xf>
    <xf numFmtId="0" fontId="12" fillId="10" borderId="5" xfId="0" applyFont="1" applyFill="1" applyBorder="1" applyAlignment="1">
      <alignment horizontal="center"/>
    </xf>
    <xf numFmtId="0" fontId="12" fillId="10" borderId="22" xfId="0" applyFont="1" applyFill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14" fontId="4" fillId="0" borderId="0" xfId="0" applyNumberFormat="1" applyFont="1" applyAlignment="1">
      <alignment horizontal="right"/>
    </xf>
    <xf numFmtId="0" fontId="7" fillId="7" borderId="6" xfId="0" applyFont="1" applyFill="1" applyBorder="1" applyAlignment="1">
      <alignment horizontal="center"/>
    </xf>
    <xf numFmtId="0" fontId="7" fillId="7" borderId="21" xfId="0" applyFont="1" applyFill="1" applyBorder="1" applyAlignment="1">
      <alignment horizontal="center"/>
    </xf>
    <xf numFmtId="14" fontId="8" fillId="0" borderId="17" xfId="0" applyNumberFormat="1" applyFont="1" applyBorder="1" applyAlignment="1">
      <alignment horizontal="right"/>
    </xf>
    <xf numFmtId="14" fontId="8" fillId="0" borderId="4" xfId="0" applyNumberFormat="1" applyFont="1" applyBorder="1" applyAlignment="1">
      <alignment horizontal="right"/>
    </xf>
    <xf numFmtId="0" fontId="7" fillId="12" borderId="15" xfId="0" applyFont="1" applyFill="1" applyBorder="1" applyAlignment="1">
      <alignment horizontal="center"/>
    </xf>
    <xf numFmtId="0" fontId="2" fillId="0" borderId="23" xfId="0" applyFont="1" applyBorder="1"/>
    <xf numFmtId="0" fontId="2" fillId="0" borderId="16" xfId="0" applyFont="1" applyBorder="1"/>
    <xf numFmtId="0" fontId="4" fillId="3" borderId="13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14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4" xfId="0" applyFont="1" applyBorder="1"/>
    <xf numFmtId="0" fontId="3" fillId="0" borderId="10" xfId="0" applyFont="1" applyBorder="1"/>
    <xf numFmtId="0" fontId="1" fillId="2" borderId="1" xfId="0" applyFont="1" applyFill="1" applyBorder="1" applyAlignment="1">
      <alignment horizontal="center"/>
    </xf>
    <xf numFmtId="0" fontId="2" fillId="0" borderId="3" xfId="0" applyFont="1" applyBorder="1"/>
    <xf numFmtId="0" fontId="0" fillId="0" borderId="0" xfId="0"/>
    <xf numFmtId="0" fontId="4" fillId="3" borderId="7" xfId="0" applyFont="1" applyFill="1" applyBorder="1" applyAlignment="1">
      <alignment horizontal="center" wrapText="1"/>
    </xf>
    <xf numFmtId="0" fontId="2" fillId="0" borderId="8" xfId="0" applyFont="1" applyBorder="1"/>
    <xf numFmtId="0" fontId="2" fillId="0" borderId="9" xfId="0" applyFont="1" applyBorder="1"/>
    <xf numFmtId="0" fontId="3" fillId="0" borderId="9" xfId="0" applyFont="1" applyBorder="1"/>
    <xf numFmtId="0" fontId="4" fillId="4" borderId="13" xfId="0" applyFont="1" applyFill="1" applyBorder="1" applyAlignment="1">
      <alignment horizontal="right" wrapText="1"/>
    </xf>
    <xf numFmtId="0" fontId="4" fillId="0" borderId="10" xfId="0" applyFont="1" applyBorder="1" applyAlignment="1">
      <alignment horizontal="right"/>
    </xf>
    <xf numFmtId="0" fontId="4" fillId="4" borderId="15" xfId="0" applyFont="1" applyFill="1" applyBorder="1" applyAlignment="1">
      <alignment horizontal="center"/>
    </xf>
    <xf numFmtId="0" fontId="4" fillId="4" borderId="18" xfId="0" applyFont="1" applyFill="1" applyBorder="1" applyAlignment="1">
      <alignment horizontal="center"/>
    </xf>
    <xf numFmtId="0" fontId="2" fillId="0" borderId="19" xfId="0" applyFont="1" applyBorder="1"/>
    <xf numFmtId="0" fontId="4" fillId="4" borderId="13" xfId="0" applyFont="1" applyFill="1" applyBorder="1" applyAlignment="1">
      <alignment horizontal="center" wrapText="1"/>
    </xf>
    <xf numFmtId="0" fontId="7" fillId="7" borderId="15" xfId="0" applyFont="1" applyFill="1" applyBorder="1" applyAlignment="1">
      <alignment horizontal="center"/>
    </xf>
    <xf numFmtId="0" fontId="8" fillId="7" borderId="15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0" fontId="2" fillId="0" borderId="24" xfId="0" applyFont="1" applyBorder="1"/>
    <xf numFmtId="0" fontId="9" fillId="0" borderId="23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0" fillId="8" borderId="1" xfId="0" applyFont="1" applyFill="1" applyBorder="1" applyAlignment="1">
      <alignment horizontal="center" wrapText="1"/>
    </xf>
    <xf numFmtId="0" fontId="11" fillId="9" borderId="1" xfId="0" applyFont="1" applyFill="1" applyBorder="1" applyAlignment="1">
      <alignment horizontal="center" wrapText="1"/>
    </xf>
    <xf numFmtId="0" fontId="8" fillId="11" borderId="25" xfId="0" applyFont="1" applyFill="1" applyBorder="1" applyAlignment="1">
      <alignment horizontal="center"/>
    </xf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0" fontId="2" fillId="0" borderId="29" xfId="0" applyFont="1" applyBorder="1"/>
    <xf numFmtId="0" fontId="2" fillId="0" borderId="3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N1000"/>
  <sheetViews>
    <sheetView topLeftCell="A6" workbookViewId="0">
      <selection activeCell="N10" sqref="N10"/>
    </sheetView>
  </sheetViews>
  <sheetFormatPr defaultColWidth="12.6640625" defaultRowHeight="15" customHeight="1" x14ac:dyDescent="0.25"/>
  <sheetData>
    <row r="1" spans="2:14" ht="15.75" customHeight="1" x14ac:dyDescent="0.25"/>
    <row r="2" spans="2:14" ht="15.75" customHeight="1" x14ac:dyDescent="0.25">
      <c r="B2" s="64" t="s">
        <v>0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2:14" ht="15.75" customHeight="1" x14ac:dyDescent="0.25">
      <c r="B3" s="65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</row>
    <row r="4" spans="2:14" ht="15.75" customHeight="1" x14ac:dyDescent="0.25">
      <c r="B4" s="65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</row>
    <row r="5" spans="2:14" ht="15.75" customHeight="1" x14ac:dyDescent="0.25"/>
    <row r="6" spans="2:14" ht="15.75" customHeight="1" x14ac:dyDescent="0.25"/>
    <row r="7" spans="2:14" ht="15.75" customHeight="1" x14ac:dyDescent="0.3">
      <c r="C7" s="1"/>
      <c r="D7" s="2" t="s">
        <v>1</v>
      </c>
      <c r="E7" s="2" t="s">
        <v>2</v>
      </c>
      <c r="F7" s="2" t="s">
        <v>3</v>
      </c>
      <c r="G7" s="2" t="s">
        <v>4</v>
      </c>
    </row>
    <row r="8" spans="2:14" ht="15.75" customHeight="1" x14ac:dyDescent="0.3">
      <c r="C8" s="3" t="s">
        <v>5</v>
      </c>
      <c r="D8" s="4" t="s">
        <v>6</v>
      </c>
      <c r="E8" s="4" t="s">
        <v>7</v>
      </c>
      <c r="F8" s="4" t="s">
        <v>6</v>
      </c>
      <c r="G8" s="4" t="s">
        <v>6</v>
      </c>
      <c r="I8" s="67" t="s">
        <v>8</v>
      </c>
      <c r="J8" s="68"/>
      <c r="K8" s="68"/>
      <c r="L8" s="69"/>
      <c r="M8" s="5"/>
      <c r="N8" s="70">
        <f>COUNTBLANK(D8:G22)</f>
        <v>8</v>
      </c>
    </row>
    <row r="9" spans="2:14" ht="15.75" customHeight="1" x14ac:dyDescent="0.3">
      <c r="C9" s="3" t="s">
        <v>9</v>
      </c>
      <c r="D9" s="4" t="s">
        <v>6</v>
      </c>
      <c r="E9" s="4" t="s">
        <v>6</v>
      </c>
      <c r="F9" s="4" t="s">
        <v>6</v>
      </c>
      <c r="G9" s="1"/>
      <c r="I9" s="60"/>
      <c r="J9" s="61"/>
      <c r="K9" s="61"/>
      <c r="L9" s="62"/>
      <c r="M9" s="5"/>
      <c r="N9" s="62"/>
    </row>
    <row r="10" spans="2:14" ht="15.75" customHeight="1" x14ac:dyDescent="0.3">
      <c r="C10" s="3" t="s">
        <v>10</v>
      </c>
      <c r="D10" s="1"/>
      <c r="E10" s="4" t="s">
        <v>7</v>
      </c>
      <c r="F10" s="4" t="s">
        <v>7</v>
      </c>
      <c r="G10" s="1"/>
    </row>
    <row r="11" spans="2:14" ht="15.75" customHeight="1" x14ac:dyDescent="0.3">
      <c r="C11" s="3" t="s">
        <v>11</v>
      </c>
      <c r="D11" s="4" t="s">
        <v>6</v>
      </c>
      <c r="E11" s="4" t="s">
        <v>6</v>
      </c>
      <c r="F11" s="4" t="s">
        <v>7</v>
      </c>
      <c r="G11" s="4" t="s">
        <v>7</v>
      </c>
    </row>
    <row r="12" spans="2:14" ht="15.75" customHeight="1" x14ac:dyDescent="0.3">
      <c r="C12" s="3" t="s">
        <v>12</v>
      </c>
      <c r="D12" s="4" t="s">
        <v>6</v>
      </c>
      <c r="E12" s="1"/>
      <c r="F12" s="4" t="s">
        <v>6</v>
      </c>
      <c r="G12" s="1"/>
    </row>
    <row r="13" spans="2:14" ht="15.75" customHeight="1" x14ac:dyDescent="0.3">
      <c r="C13" s="3" t="s">
        <v>13</v>
      </c>
      <c r="D13" s="4" t="s">
        <v>6</v>
      </c>
      <c r="E13" s="4" t="s">
        <v>6</v>
      </c>
      <c r="F13" s="4" t="s">
        <v>7</v>
      </c>
      <c r="G13" s="4" t="s">
        <v>7</v>
      </c>
      <c r="I13" s="67" t="s">
        <v>14</v>
      </c>
      <c r="J13" s="68"/>
      <c r="K13" s="68"/>
      <c r="L13" s="69"/>
      <c r="M13" s="5"/>
      <c r="N13" s="70">
        <f>COUNTA(D8:G22)</f>
        <v>52</v>
      </c>
    </row>
    <row r="14" spans="2:14" ht="15.75" customHeight="1" x14ac:dyDescent="0.3">
      <c r="C14" s="3" t="s">
        <v>15</v>
      </c>
      <c r="D14" s="4" t="s">
        <v>7</v>
      </c>
      <c r="E14" s="4" t="s">
        <v>7</v>
      </c>
      <c r="F14" s="4" t="s">
        <v>6</v>
      </c>
      <c r="G14" s="4" t="s">
        <v>7</v>
      </c>
      <c r="I14" s="60"/>
      <c r="J14" s="61"/>
      <c r="K14" s="61"/>
      <c r="L14" s="62"/>
      <c r="M14" s="5"/>
      <c r="N14" s="62"/>
    </row>
    <row r="15" spans="2:14" ht="15.75" customHeight="1" x14ac:dyDescent="0.3">
      <c r="C15" s="3" t="s">
        <v>16</v>
      </c>
      <c r="D15" s="4" t="s">
        <v>7</v>
      </c>
      <c r="E15" s="4" t="s">
        <v>6</v>
      </c>
      <c r="F15" s="4" t="s">
        <v>6</v>
      </c>
      <c r="G15" s="4" t="s">
        <v>6</v>
      </c>
    </row>
    <row r="16" spans="2:14" ht="15.75" customHeight="1" x14ac:dyDescent="0.3">
      <c r="C16" s="3" t="s">
        <v>17</v>
      </c>
      <c r="D16" s="4" t="s">
        <v>6</v>
      </c>
      <c r="E16" s="4" t="s">
        <v>6</v>
      </c>
      <c r="F16" s="4" t="s">
        <v>7</v>
      </c>
      <c r="G16" s="4" t="s">
        <v>6</v>
      </c>
    </row>
    <row r="17" spans="3:14" ht="15.75" customHeight="1" x14ac:dyDescent="0.3">
      <c r="C17" s="3" t="s">
        <v>18</v>
      </c>
      <c r="D17" s="4" t="s">
        <v>6</v>
      </c>
      <c r="E17" s="4" t="s">
        <v>6</v>
      </c>
      <c r="F17" s="4" t="s">
        <v>6</v>
      </c>
      <c r="G17" s="4" t="s">
        <v>6</v>
      </c>
      <c r="I17" s="67" t="s">
        <v>19</v>
      </c>
      <c r="J17" s="68"/>
      <c r="K17" s="68"/>
      <c r="L17" s="69"/>
      <c r="M17" s="5"/>
      <c r="N17" s="70">
        <f>COUNTIFS(D8:G22,D8)</f>
        <v>30</v>
      </c>
    </row>
    <row r="18" spans="3:14" ht="15.75" customHeight="1" x14ac:dyDescent="0.3">
      <c r="C18" s="3" t="s">
        <v>20</v>
      </c>
      <c r="D18" s="4" t="s">
        <v>6</v>
      </c>
      <c r="E18" s="4" t="s">
        <v>7</v>
      </c>
      <c r="F18" s="4" t="s">
        <v>6</v>
      </c>
      <c r="G18" s="4" t="s">
        <v>7</v>
      </c>
      <c r="I18" s="60"/>
      <c r="J18" s="61"/>
      <c r="K18" s="61"/>
      <c r="L18" s="62"/>
      <c r="M18" s="5"/>
      <c r="N18" s="62"/>
    </row>
    <row r="19" spans="3:14" ht="15.75" customHeight="1" x14ac:dyDescent="0.3">
      <c r="C19" s="3" t="s">
        <v>21</v>
      </c>
      <c r="D19" s="4" t="s">
        <v>6</v>
      </c>
      <c r="E19" s="4" t="s">
        <v>7</v>
      </c>
      <c r="F19" s="4" t="s">
        <v>7</v>
      </c>
      <c r="G19" s="4" t="s">
        <v>7</v>
      </c>
      <c r="I19" s="6"/>
      <c r="J19" s="6"/>
      <c r="K19" s="6"/>
      <c r="L19" s="6"/>
      <c r="M19" s="6"/>
      <c r="N19" s="6"/>
    </row>
    <row r="20" spans="3:14" ht="15.75" customHeight="1" x14ac:dyDescent="0.3">
      <c r="C20" s="3" t="s">
        <v>22</v>
      </c>
      <c r="D20" s="4" t="s">
        <v>6</v>
      </c>
      <c r="E20" s="4" t="s">
        <v>7</v>
      </c>
      <c r="F20" s="1"/>
      <c r="G20" s="1"/>
      <c r="I20" s="7"/>
      <c r="J20" s="7"/>
      <c r="K20" s="7"/>
      <c r="L20" s="7"/>
      <c r="M20" s="6"/>
      <c r="N20" s="7"/>
    </row>
    <row r="21" spans="3:14" ht="15.75" customHeight="1" x14ac:dyDescent="0.3">
      <c r="C21" s="3" t="s">
        <v>23</v>
      </c>
      <c r="D21" s="4" t="s">
        <v>7</v>
      </c>
      <c r="E21" s="4" t="s">
        <v>7</v>
      </c>
      <c r="F21" s="4" t="s">
        <v>6</v>
      </c>
      <c r="G21" s="4" t="s">
        <v>6</v>
      </c>
      <c r="I21" s="57" t="s">
        <v>24</v>
      </c>
      <c r="J21" s="58"/>
      <c r="K21" s="58"/>
      <c r="L21" s="59"/>
      <c r="M21" s="5"/>
      <c r="N21" s="63">
        <f>COUNTIFS(D8:G22,E8)</f>
        <v>22</v>
      </c>
    </row>
    <row r="22" spans="3:14" ht="15.75" customHeight="1" x14ac:dyDescent="0.3">
      <c r="C22" s="3" t="s">
        <v>25</v>
      </c>
      <c r="D22" s="4" t="s">
        <v>6</v>
      </c>
      <c r="E22" s="4" t="s">
        <v>7</v>
      </c>
      <c r="F22" s="1"/>
      <c r="G22" s="4" t="s">
        <v>7</v>
      </c>
      <c r="I22" s="60"/>
      <c r="J22" s="61"/>
      <c r="K22" s="61"/>
      <c r="L22" s="62"/>
      <c r="M22" s="5"/>
      <c r="N22" s="62"/>
    </row>
    <row r="23" spans="3:14" ht="15.75" customHeight="1" x14ac:dyDescent="0.25"/>
    <row r="24" spans="3:14" ht="15.75" customHeight="1" x14ac:dyDescent="0.25"/>
    <row r="25" spans="3:14" ht="15.75" customHeight="1" x14ac:dyDescent="0.25"/>
    <row r="26" spans="3:14" ht="15.75" customHeight="1" x14ac:dyDescent="0.25"/>
    <row r="27" spans="3:14" ht="15.75" customHeight="1" x14ac:dyDescent="0.25"/>
    <row r="28" spans="3:14" ht="15.75" customHeight="1" x14ac:dyDescent="0.25"/>
    <row r="29" spans="3:14" ht="15.75" customHeight="1" x14ac:dyDescent="0.25"/>
    <row r="30" spans="3:14" ht="15.75" customHeight="1" x14ac:dyDescent="0.25"/>
    <row r="31" spans="3:14" ht="15.75" customHeight="1" x14ac:dyDescent="0.25"/>
    <row r="32" spans="3:1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I21:L22"/>
    <mergeCell ref="N21:N22"/>
    <mergeCell ref="B2:N4"/>
    <mergeCell ref="I8:L9"/>
    <mergeCell ref="N8:N9"/>
    <mergeCell ref="I13:L14"/>
    <mergeCell ref="N13:N14"/>
    <mergeCell ref="I17:L18"/>
    <mergeCell ref="N17:N18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E1000"/>
  <sheetViews>
    <sheetView tabSelected="1" workbookViewId="0">
      <selection activeCell="D16" sqref="D16"/>
    </sheetView>
  </sheetViews>
  <sheetFormatPr defaultColWidth="12.6640625" defaultRowHeight="15" customHeight="1" x14ac:dyDescent="0.25"/>
  <cols>
    <col min="5" max="5" width="15.44140625" customWidth="1"/>
  </cols>
  <sheetData>
    <row r="1" spans="2:5" ht="15.75" customHeight="1" x14ac:dyDescent="0.25"/>
    <row r="2" spans="2:5" ht="15.75" customHeight="1" x14ac:dyDescent="0.3">
      <c r="B2" s="73" t="s">
        <v>26</v>
      </c>
      <c r="C2" s="56"/>
      <c r="D2" s="8">
        <v>36962</v>
      </c>
    </row>
    <row r="3" spans="2:5" ht="15.75" customHeight="1" x14ac:dyDescent="0.25">
      <c r="B3" s="9"/>
      <c r="C3" s="1"/>
      <c r="D3" s="1"/>
    </row>
    <row r="4" spans="2:5" ht="15.75" customHeight="1" x14ac:dyDescent="0.25">
      <c r="B4" s="9"/>
      <c r="C4" s="1"/>
      <c r="D4" s="1"/>
    </row>
    <row r="5" spans="2:5" ht="15.75" customHeight="1" x14ac:dyDescent="0.3">
      <c r="B5" s="74" t="s">
        <v>27</v>
      </c>
      <c r="C5" s="75"/>
      <c r="D5" s="10">
        <v>44295</v>
      </c>
    </row>
    <row r="6" spans="2:5" ht="15.75" customHeight="1" x14ac:dyDescent="0.25">
      <c r="B6" s="9"/>
      <c r="C6" s="1"/>
      <c r="D6" s="1"/>
    </row>
    <row r="7" spans="2:5" ht="15.75" customHeight="1" x14ac:dyDescent="0.25">
      <c r="B7" s="76" t="s">
        <v>28</v>
      </c>
      <c r="C7" s="59"/>
      <c r="D7" s="72">
        <f>DATEDIF(D2,D5,"Y")</f>
        <v>20</v>
      </c>
    </row>
    <row r="8" spans="2:5" ht="15.75" customHeight="1" x14ac:dyDescent="0.25">
      <c r="B8" s="60"/>
      <c r="C8" s="62"/>
      <c r="D8" s="62"/>
    </row>
    <row r="9" spans="2:5" ht="15.75" customHeight="1" x14ac:dyDescent="0.25">
      <c r="B9" s="9"/>
      <c r="C9" s="1"/>
      <c r="D9" s="5"/>
      <c r="E9" s="11"/>
    </row>
    <row r="10" spans="2:5" ht="15.75" customHeight="1" x14ac:dyDescent="0.25">
      <c r="B10" s="76" t="s">
        <v>29</v>
      </c>
      <c r="C10" s="59"/>
      <c r="D10" s="12"/>
    </row>
    <row r="11" spans="2:5" ht="28.5" customHeight="1" x14ac:dyDescent="0.3">
      <c r="B11" s="60"/>
      <c r="C11" s="62"/>
      <c r="D11" s="13">
        <f>DATEDIF(D2,D5,"M")</f>
        <v>240</v>
      </c>
    </row>
    <row r="12" spans="2:5" ht="15.75" customHeight="1" x14ac:dyDescent="0.25">
      <c r="B12" s="9"/>
      <c r="C12" s="1"/>
      <c r="D12" s="1"/>
    </row>
    <row r="13" spans="2:5" ht="15.75" customHeight="1" x14ac:dyDescent="0.25">
      <c r="B13" s="9"/>
      <c r="C13" s="1"/>
      <c r="D13" s="1"/>
    </row>
    <row r="14" spans="2:5" ht="15.75" customHeight="1" x14ac:dyDescent="0.25">
      <c r="B14" s="71" t="s">
        <v>30</v>
      </c>
      <c r="C14" s="59"/>
      <c r="D14" s="72">
        <f>DATEDIF(D2,D5,"YM")</f>
        <v>0</v>
      </c>
    </row>
    <row r="15" spans="2:5" ht="15.75" customHeight="1" x14ac:dyDescent="0.25">
      <c r="B15" s="60"/>
      <c r="C15" s="62"/>
      <c r="D15" s="62"/>
    </row>
    <row r="16" spans="2: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B14:C15"/>
    <mergeCell ref="D14:D15"/>
    <mergeCell ref="B2:C2"/>
    <mergeCell ref="B5:C5"/>
    <mergeCell ref="B7:C8"/>
    <mergeCell ref="D7:D8"/>
    <mergeCell ref="B10:C1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0"/>
  <sheetViews>
    <sheetView workbookViewId="0">
      <selection activeCell="F26" sqref="F26"/>
    </sheetView>
  </sheetViews>
  <sheetFormatPr defaultColWidth="12.6640625" defaultRowHeight="15" customHeight="1" x14ac:dyDescent="0.25"/>
  <cols>
    <col min="1" max="1" width="38.6640625" customWidth="1"/>
    <col min="2" max="2" width="17.77734375" bestFit="1" customWidth="1"/>
    <col min="3" max="3" width="8.88671875" customWidth="1"/>
    <col min="4" max="4" width="23.77734375" bestFit="1" customWidth="1"/>
    <col min="5" max="5" width="13.6640625" bestFit="1" customWidth="1"/>
    <col min="6" max="6" width="34" bestFit="1" customWidth="1"/>
    <col min="7" max="7" width="28.109375" bestFit="1" customWidth="1"/>
    <col min="8" max="8" width="10.5546875" bestFit="1" customWidth="1"/>
  </cols>
  <sheetData>
    <row r="1" spans="1:8" ht="18" x14ac:dyDescent="0.35">
      <c r="A1" s="14" t="s">
        <v>31</v>
      </c>
      <c r="B1" s="7"/>
      <c r="C1" s="7"/>
      <c r="D1" s="7"/>
      <c r="E1" s="7"/>
      <c r="F1" s="7"/>
      <c r="G1" s="7"/>
      <c r="H1" s="7"/>
    </row>
    <row r="2" spans="1:8" ht="18" x14ac:dyDescent="0.35">
      <c r="A2" s="15" t="s">
        <v>32</v>
      </c>
      <c r="B2" s="16" t="s">
        <v>33</v>
      </c>
      <c r="C2" s="16" t="s">
        <v>34</v>
      </c>
      <c r="D2" s="16" t="s">
        <v>35</v>
      </c>
      <c r="E2" s="16" t="s">
        <v>36</v>
      </c>
      <c r="F2" s="16" t="s">
        <v>37</v>
      </c>
      <c r="G2" s="16" t="s">
        <v>38</v>
      </c>
      <c r="H2" s="16" t="s">
        <v>3</v>
      </c>
    </row>
    <row r="3" spans="1:8" ht="15.6" x14ac:dyDescent="0.3">
      <c r="A3" s="17" t="s">
        <v>39</v>
      </c>
      <c r="B3" s="18" t="s">
        <v>40</v>
      </c>
      <c r="C3" s="18" t="s">
        <v>41</v>
      </c>
      <c r="D3" s="18" t="s">
        <v>42</v>
      </c>
      <c r="E3" s="19">
        <v>44621</v>
      </c>
      <c r="F3" s="18" t="s">
        <v>43</v>
      </c>
      <c r="G3" s="18" t="s">
        <v>44</v>
      </c>
      <c r="H3" s="20">
        <v>25010</v>
      </c>
    </row>
    <row r="4" spans="1:8" ht="15.6" x14ac:dyDescent="0.3">
      <c r="A4" s="17" t="s">
        <v>45</v>
      </c>
      <c r="B4" s="18" t="s">
        <v>46</v>
      </c>
      <c r="C4" s="18" t="s">
        <v>47</v>
      </c>
      <c r="D4" s="18" t="s">
        <v>48</v>
      </c>
      <c r="E4" s="19">
        <v>44626</v>
      </c>
      <c r="F4" s="18" t="s">
        <v>49</v>
      </c>
      <c r="G4" s="18" t="s">
        <v>50</v>
      </c>
      <c r="H4" s="20">
        <v>35600</v>
      </c>
    </row>
    <row r="5" spans="1:8" ht="15.6" x14ac:dyDescent="0.3">
      <c r="A5" s="17" t="s">
        <v>51</v>
      </c>
      <c r="B5" s="18" t="s">
        <v>52</v>
      </c>
      <c r="C5" s="18" t="s">
        <v>47</v>
      </c>
      <c r="D5" s="18" t="s">
        <v>53</v>
      </c>
      <c r="E5" s="19">
        <v>44627</v>
      </c>
      <c r="F5" s="18" t="s">
        <v>54</v>
      </c>
      <c r="G5" s="18" t="s">
        <v>55</v>
      </c>
      <c r="H5" s="20">
        <v>42150</v>
      </c>
    </row>
    <row r="6" spans="1:8" ht="15.6" x14ac:dyDescent="0.3">
      <c r="A6" s="17" t="s">
        <v>56</v>
      </c>
      <c r="B6" s="18" t="s">
        <v>57</v>
      </c>
      <c r="C6" s="18" t="s">
        <v>47</v>
      </c>
      <c r="D6" s="18" t="s">
        <v>42</v>
      </c>
      <c r="E6" s="19">
        <v>44637</v>
      </c>
      <c r="F6" s="18" t="s">
        <v>58</v>
      </c>
      <c r="G6" s="18" t="s">
        <v>59</v>
      </c>
      <c r="H6" s="20">
        <v>102000</v>
      </c>
    </row>
    <row r="7" spans="1:8" ht="15.6" x14ac:dyDescent="0.3">
      <c r="A7" s="17" t="s">
        <v>60</v>
      </c>
      <c r="B7" s="18" t="s">
        <v>61</v>
      </c>
      <c r="C7" s="18" t="s">
        <v>41</v>
      </c>
      <c r="D7" s="18" t="s">
        <v>48</v>
      </c>
      <c r="E7" s="19">
        <v>44645</v>
      </c>
      <c r="F7" s="18" t="s">
        <v>62</v>
      </c>
      <c r="G7" s="18" t="s">
        <v>63</v>
      </c>
      <c r="H7" s="20">
        <v>28300</v>
      </c>
    </row>
    <row r="8" spans="1:8" ht="15.6" x14ac:dyDescent="0.3">
      <c r="A8" s="17" t="s">
        <v>64</v>
      </c>
      <c r="B8" s="18" t="s">
        <v>65</v>
      </c>
      <c r="C8" s="18" t="s">
        <v>41</v>
      </c>
      <c r="D8" s="18" t="s">
        <v>53</v>
      </c>
      <c r="E8" s="19">
        <v>44646</v>
      </c>
      <c r="F8" s="18" t="s">
        <v>66</v>
      </c>
      <c r="G8" s="18" t="s">
        <v>67</v>
      </c>
      <c r="H8" s="20">
        <v>34500</v>
      </c>
    </row>
    <row r="9" spans="1:8" ht="15.6" x14ac:dyDescent="0.3">
      <c r="A9" s="17" t="s">
        <v>68</v>
      </c>
      <c r="B9" s="18" t="s">
        <v>69</v>
      </c>
      <c r="C9" s="18" t="s">
        <v>47</v>
      </c>
      <c r="D9" s="18" t="s">
        <v>70</v>
      </c>
      <c r="E9" s="19">
        <v>44651</v>
      </c>
      <c r="F9" s="18" t="s">
        <v>71</v>
      </c>
      <c r="G9" s="18" t="s">
        <v>72</v>
      </c>
      <c r="H9" s="20">
        <v>95000</v>
      </c>
    </row>
    <row r="10" spans="1:8" ht="15.6" x14ac:dyDescent="0.3">
      <c r="A10" s="17" t="s">
        <v>73</v>
      </c>
      <c r="B10" s="18" t="s">
        <v>74</v>
      </c>
      <c r="C10" s="18" t="s">
        <v>47</v>
      </c>
      <c r="D10" s="18" t="s">
        <v>42</v>
      </c>
      <c r="E10" s="19">
        <v>44666</v>
      </c>
      <c r="F10" s="18" t="s">
        <v>75</v>
      </c>
      <c r="G10" s="18" t="s">
        <v>76</v>
      </c>
      <c r="H10" s="20">
        <v>12500</v>
      </c>
    </row>
    <row r="11" spans="1:8" ht="15.6" x14ac:dyDescent="0.3">
      <c r="A11" s="17" t="s">
        <v>77</v>
      </c>
      <c r="B11" s="18" t="s">
        <v>78</v>
      </c>
      <c r="C11" s="18" t="s">
        <v>47</v>
      </c>
      <c r="D11" s="18" t="s">
        <v>48</v>
      </c>
      <c r="E11" s="19">
        <v>44671</v>
      </c>
      <c r="F11" s="18" t="s">
        <v>79</v>
      </c>
      <c r="G11" s="18" t="s">
        <v>80</v>
      </c>
      <c r="H11" s="20">
        <v>35623</v>
      </c>
    </row>
    <row r="12" spans="1:8" ht="15.6" x14ac:dyDescent="0.3">
      <c r="A12" s="17" t="s">
        <v>81</v>
      </c>
      <c r="B12" s="18" t="s">
        <v>82</v>
      </c>
      <c r="C12" s="18" t="s">
        <v>41</v>
      </c>
      <c r="D12" s="18" t="s">
        <v>70</v>
      </c>
      <c r="E12" s="19">
        <v>44676</v>
      </c>
      <c r="F12" s="18" t="s">
        <v>83</v>
      </c>
      <c r="G12" s="18" t="s">
        <v>84</v>
      </c>
      <c r="H12" s="20">
        <v>66785</v>
      </c>
    </row>
    <row r="13" spans="1:8" ht="15.6" x14ac:dyDescent="0.3">
      <c r="A13" s="17" t="s">
        <v>85</v>
      </c>
      <c r="B13" s="18" t="s">
        <v>86</v>
      </c>
      <c r="C13" s="7"/>
      <c r="D13" s="18" t="s">
        <v>42</v>
      </c>
      <c r="E13" s="19">
        <v>44688</v>
      </c>
      <c r="F13" s="18" t="s">
        <v>87</v>
      </c>
      <c r="G13" s="18" t="s">
        <v>88</v>
      </c>
      <c r="H13" s="20">
        <v>135430</v>
      </c>
    </row>
    <row r="14" spans="1:8" ht="15.6" x14ac:dyDescent="0.3">
      <c r="A14" s="17" t="s">
        <v>89</v>
      </c>
      <c r="B14" s="18" t="s">
        <v>90</v>
      </c>
      <c r="C14" s="18" t="s">
        <v>47</v>
      </c>
      <c r="D14" s="18" t="s">
        <v>53</v>
      </c>
      <c r="E14" s="19">
        <v>44692</v>
      </c>
      <c r="F14" s="18" t="s">
        <v>91</v>
      </c>
      <c r="G14" s="18" t="s">
        <v>92</v>
      </c>
      <c r="H14" s="20">
        <v>187020</v>
      </c>
    </row>
    <row r="15" spans="1:8" ht="15.6" x14ac:dyDescent="0.3">
      <c r="A15" s="17" t="s">
        <v>93</v>
      </c>
      <c r="B15" s="18" t="s">
        <v>94</v>
      </c>
      <c r="C15" s="18" t="s">
        <v>47</v>
      </c>
      <c r="D15" s="18" t="s">
        <v>48</v>
      </c>
      <c r="E15" s="19">
        <v>44701</v>
      </c>
      <c r="F15" s="18" t="s">
        <v>95</v>
      </c>
      <c r="G15" s="18" t="s">
        <v>96</v>
      </c>
      <c r="H15" s="20">
        <v>98456</v>
      </c>
    </row>
    <row r="16" spans="1:8" ht="15.6" x14ac:dyDescent="0.3">
      <c r="A16" s="17" t="s">
        <v>97</v>
      </c>
      <c r="B16" s="18" t="s">
        <v>98</v>
      </c>
      <c r="C16" s="18" t="s">
        <v>47</v>
      </c>
      <c r="D16" s="18" t="s">
        <v>42</v>
      </c>
      <c r="E16" s="19">
        <v>44710</v>
      </c>
      <c r="F16" s="21" t="s">
        <v>99</v>
      </c>
      <c r="G16" s="18" t="s">
        <v>100</v>
      </c>
      <c r="H16" s="20">
        <v>20400</v>
      </c>
    </row>
    <row r="17" spans="1:8" ht="15.6" x14ac:dyDescent="0.3">
      <c r="A17" s="17" t="s">
        <v>101</v>
      </c>
      <c r="B17" s="18" t="s">
        <v>102</v>
      </c>
      <c r="C17" s="18" t="s">
        <v>47</v>
      </c>
      <c r="D17" s="18" t="s">
        <v>53</v>
      </c>
      <c r="E17" s="22">
        <v>44710</v>
      </c>
      <c r="F17" s="23"/>
      <c r="G17" s="18" t="s">
        <v>103</v>
      </c>
      <c r="H17" s="20">
        <v>35455</v>
      </c>
    </row>
    <row r="18" spans="1:8" ht="15.6" x14ac:dyDescent="0.3">
      <c r="A18" s="17" t="s">
        <v>104</v>
      </c>
      <c r="B18" s="18" t="s">
        <v>105</v>
      </c>
      <c r="C18" s="18" t="s">
        <v>47</v>
      </c>
      <c r="D18" s="18" t="s">
        <v>70</v>
      </c>
      <c r="E18" s="22">
        <v>44710</v>
      </c>
      <c r="F18" s="23"/>
      <c r="G18" s="18" t="s">
        <v>106</v>
      </c>
      <c r="H18" s="20">
        <v>72465</v>
      </c>
    </row>
    <row r="19" spans="1:8" ht="15.6" x14ac:dyDescent="0.3">
      <c r="A19" s="17" t="s">
        <v>107</v>
      </c>
      <c r="B19" s="18" t="s">
        <v>108</v>
      </c>
      <c r="C19" s="18" t="s">
        <v>47</v>
      </c>
      <c r="D19" s="18" t="s">
        <v>42</v>
      </c>
      <c r="E19" s="22">
        <v>44710</v>
      </c>
      <c r="F19" s="23"/>
      <c r="G19" s="18" t="s">
        <v>109</v>
      </c>
      <c r="H19" s="20">
        <v>107956</v>
      </c>
    </row>
    <row r="20" spans="1:8" ht="15.6" x14ac:dyDescent="0.3">
      <c r="A20" s="17" t="s">
        <v>110</v>
      </c>
      <c r="B20" s="18" t="s">
        <v>111</v>
      </c>
      <c r="C20" s="18" t="s">
        <v>47</v>
      </c>
      <c r="D20" s="18" t="s">
        <v>112</v>
      </c>
      <c r="E20" s="22">
        <v>44562</v>
      </c>
      <c r="F20" s="23"/>
      <c r="G20" s="18" t="s">
        <v>113</v>
      </c>
      <c r="H20" s="20">
        <v>252200</v>
      </c>
    </row>
    <row r="21" spans="1:8" ht="15.6" x14ac:dyDescent="0.3">
      <c r="A21" s="17" t="s">
        <v>114</v>
      </c>
      <c r="B21" s="18" t="s">
        <v>115</v>
      </c>
      <c r="C21" s="18" t="s">
        <v>41</v>
      </c>
      <c r="D21" s="18" t="s">
        <v>53</v>
      </c>
      <c r="E21" s="22">
        <v>44676</v>
      </c>
      <c r="F21" s="23"/>
      <c r="G21" s="18" t="s">
        <v>116</v>
      </c>
      <c r="H21" s="20">
        <v>24598</v>
      </c>
    </row>
    <row r="22" spans="1:8" ht="15.6" x14ac:dyDescent="0.3">
      <c r="A22" s="17" t="s">
        <v>117</v>
      </c>
      <c r="B22" s="18" t="s">
        <v>118</v>
      </c>
      <c r="C22" s="7"/>
      <c r="D22" s="18" t="s">
        <v>42</v>
      </c>
      <c r="E22" s="22">
        <v>44676</v>
      </c>
      <c r="F22" s="23"/>
      <c r="G22" s="18" t="s">
        <v>119</v>
      </c>
      <c r="H22" s="20">
        <v>77804</v>
      </c>
    </row>
    <row r="23" spans="1:8" ht="15.75" customHeight="1" x14ac:dyDescent="0.25"/>
    <row r="24" spans="1:8" ht="15.75" customHeight="1" x14ac:dyDescent="0.25"/>
    <row r="25" spans="1:8" ht="15.75" customHeight="1" x14ac:dyDescent="0.35">
      <c r="D25" s="77" t="s">
        <v>120</v>
      </c>
      <c r="E25" s="56"/>
      <c r="F25" s="24">
        <f>COUNTBLANK(A3:H22)</f>
        <v>8</v>
      </c>
    </row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D25:E2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M1000"/>
  <sheetViews>
    <sheetView workbookViewId="0">
      <selection activeCell="H29" sqref="H29"/>
    </sheetView>
  </sheetViews>
  <sheetFormatPr defaultColWidth="12.6640625" defaultRowHeight="15" customHeight="1" x14ac:dyDescent="0.25"/>
  <cols>
    <col min="5" max="5" width="22.6640625" customWidth="1"/>
    <col min="6" max="6" width="26.44140625" customWidth="1"/>
    <col min="7" max="7" width="32.6640625" customWidth="1"/>
    <col min="8" max="8" width="26.77734375" customWidth="1"/>
    <col min="10" max="10" width="22.6640625" customWidth="1"/>
  </cols>
  <sheetData>
    <row r="1" spans="2:10" ht="15.75" customHeight="1" x14ac:dyDescent="0.25"/>
    <row r="2" spans="2:10" ht="15.75" customHeight="1" x14ac:dyDescent="0.25"/>
    <row r="3" spans="2:10" ht="15.75" customHeight="1" x14ac:dyDescent="0.35">
      <c r="B3" s="25" t="s">
        <v>32</v>
      </c>
      <c r="C3" s="26" t="s">
        <v>33</v>
      </c>
      <c r="D3" s="26" t="s">
        <v>34</v>
      </c>
      <c r="E3" s="26" t="s">
        <v>35</v>
      </c>
      <c r="F3" s="26" t="s">
        <v>36</v>
      </c>
      <c r="G3" s="26" t="s">
        <v>37</v>
      </c>
      <c r="H3" s="26" t="s">
        <v>38</v>
      </c>
      <c r="I3" s="27" t="s">
        <v>3</v>
      </c>
      <c r="J3" s="28" t="s">
        <v>121</v>
      </c>
    </row>
    <row r="4" spans="2:10" ht="15.75" customHeight="1" x14ac:dyDescent="0.3">
      <c r="B4" s="17" t="s">
        <v>39</v>
      </c>
      <c r="C4" s="18" t="s">
        <v>40</v>
      </c>
      <c r="D4" s="18" t="s">
        <v>41</v>
      </c>
      <c r="E4" s="18" t="s">
        <v>42</v>
      </c>
      <c r="F4" s="29">
        <v>44621</v>
      </c>
      <c r="G4" s="18" t="s">
        <v>43</v>
      </c>
      <c r="H4" s="18" t="s">
        <v>44</v>
      </c>
      <c r="I4" s="30">
        <v>25010</v>
      </c>
      <c r="J4" s="28"/>
    </row>
    <row r="5" spans="2:10" ht="15.75" customHeight="1" x14ac:dyDescent="0.3">
      <c r="B5" s="17" t="s">
        <v>45</v>
      </c>
      <c r="C5" s="18" t="s">
        <v>46</v>
      </c>
      <c r="D5" s="18" t="s">
        <v>47</v>
      </c>
      <c r="E5" s="18" t="s">
        <v>48</v>
      </c>
      <c r="F5" s="29">
        <v>44626</v>
      </c>
      <c r="G5" s="18" t="s">
        <v>49</v>
      </c>
      <c r="H5" s="18" t="s">
        <v>50</v>
      </c>
      <c r="I5" s="30">
        <v>35600</v>
      </c>
      <c r="J5" s="28"/>
    </row>
    <row r="6" spans="2:10" ht="15.75" customHeight="1" x14ac:dyDescent="0.3">
      <c r="B6" s="17" t="s">
        <v>51</v>
      </c>
      <c r="C6" s="18" t="s">
        <v>52</v>
      </c>
      <c r="D6" s="18" t="s">
        <v>47</v>
      </c>
      <c r="E6" s="18" t="s">
        <v>53</v>
      </c>
      <c r="F6" s="29">
        <v>44627</v>
      </c>
      <c r="G6" s="18" t="s">
        <v>54</v>
      </c>
      <c r="H6" s="18" t="s">
        <v>55</v>
      </c>
      <c r="I6" s="30">
        <v>42150</v>
      </c>
      <c r="J6" s="28"/>
    </row>
    <row r="7" spans="2:10" ht="15.75" customHeight="1" x14ac:dyDescent="0.3">
      <c r="B7" s="17" t="s">
        <v>56</v>
      </c>
      <c r="C7" s="18" t="s">
        <v>57</v>
      </c>
      <c r="D7" s="18" t="s">
        <v>47</v>
      </c>
      <c r="E7" s="18" t="s">
        <v>42</v>
      </c>
      <c r="F7" s="29">
        <v>44637</v>
      </c>
      <c r="G7" s="18" t="s">
        <v>58</v>
      </c>
      <c r="H7" s="18" t="s">
        <v>59</v>
      </c>
      <c r="I7" s="30">
        <v>102000</v>
      </c>
      <c r="J7" s="28"/>
    </row>
    <row r="8" spans="2:10" ht="15.75" customHeight="1" x14ac:dyDescent="0.3">
      <c r="B8" s="17" t="s">
        <v>60</v>
      </c>
      <c r="C8" s="18" t="s">
        <v>61</v>
      </c>
      <c r="D8" s="18" t="s">
        <v>41</v>
      </c>
      <c r="E8" s="18" t="s">
        <v>48</v>
      </c>
      <c r="F8" s="29">
        <v>44645</v>
      </c>
      <c r="G8" s="18" t="s">
        <v>62</v>
      </c>
      <c r="H8" s="18" t="s">
        <v>63</v>
      </c>
      <c r="I8" s="30">
        <v>28300</v>
      </c>
      <c r="J8" s="28"/>
    </row>
    <row r="9" spans="2:10" ht="15.75" customHeight="1" x14ac:dyDescent="0.3">
      <c r="B9" s="17" t="s">
        <v>64</v>
      </c>
      <c r="C9" s="18" t="s">
        <v>65</v>
      </c>
      <c r="D9" s="18" t="s">
        <v>41</v>
      </c>
      <c r="E9" s="18" t="s">
        <v>53</v>
      </c>
      <c r="F9" s="29">
        <v>44646</v>
      </c>
      <c r="G9" s="18" t="s">
        <v>66</v>
      </c>
      <c r="H9" s="18" t="s">
        <v>67</v>
      </c>
      <c r="I9" s="30">
        <v>34500</v>
      </c>
      <c r="J9" s="28"/>
    </row>
    <row r="10" spans="2:10" ht="15.75" customHeight="1" x14ac:dyDescent="0.3">
      <c r="B10" s="17" t="s">
        <v>68</v>
      </c>
      <c r="C10" s="18" t="s">
        <v>69</v>
      </c>
      <c r="D10" s="18" t="s">
        <v>47</v>
      </c>
      <c r="E10" s="18" t="s">
        <v>70</v>
      </c>
      <c r="F10" s="29">
        <v>44651</v>
      </c>
      <c r="G10" s="18" t="s">
        <v>71</v>
      </c>
      <c r="H10" s="18" t="s">
        <v>72</v>
      </c>
      <c r="I10" s="30">
        <v>95000</v>
      </c>
      <c r="J10" s="28"/>
    </row>
    <row r="11" spans="2:10" ht="15.75" customHeight="1" x14ac:dyDescent="0.3">
      <c r="B11" s="17" t="s">
        <v>73</v>
      </c>
      <c r="C11" s="18" t="s">
        <v>74</v>
      </c>
      <c r="D11" s="18" t="s">
        <v>47</v>
      </c>
      <c r="E11" s="18" t="s">
        <v>42</v>
      </c>
      <c r="F11" s="29">
        <v>44666</v>
      </c>
      <c r="G11" s="18" t="s">
        <v>75</v>
      </c>
      <c r="H11" s="18" t="s">
        <v>76</v>
      </c>
      <c r="I11" s="30">
        <v>12500</v>
      </c>
      <c r="J11" s="28"/>
    </row>
    <row r="12" spans="2:10" ht="15.75" customHeight="1" x14ac:dyDescent="0.3">
      <c r="B12" s="17" t="s">
        <v>77</v>
      </c>
      <c r="C12" s="18" t="s">
        <v>78</v>
      </c>
      <c r="D12" s="18" t="s">
        <v>47</v>
      </c>
      <c r="E12" s="18" t="s">
        <v>48</v>
      </c>
      <c r="F12" s="29">
        <v>44671</v>
      </c>
      <c r="G12" s="18" t="s">
        <v>79</v>
      </c>
      <c r="H12" s="18" t="s">
        <v>80</v>
      </c>
      <c r="I12" s="30">
        <v>35623</v>
      </c>
      <c r="J12" s="28"/>
    </row>
    <row r="13" spans="2:10" ht="15.75" customHeight="1" x14ac:dyDescent="0.3">
      <c r="B13" s="17" t="s">
        <v>81</v>
      </c>
      <c r="C13" s="18" t="s">
        <v>82</v>
      </c>
      <c r="D13" s="18" t="s">
        <v>41</v>
      </c>
      <c r="E13" s="18" t="s">
        <v>70</v>
      </c>
      <c r="F13" s="29">
        <v>44676</v>
      </c>
      <c r="G13" s="18" t="s">
        <v>83</v>
      </c>
      <c r="H13" s="18" t="s">
        <v>84</v>
      </c>
      <c r="I13" s="30">
        <v>66785</v>
      </c>
      <c r="J13" s="28"/>
    </row>
    <row r="14" spans="2:10" ht="15.75" customHeight="1" x14ac:dyDescent="0.3">
      <c r="B14" s="17" t="s">
        <v>85</v>
      </c>
      <c r="C14" s="18" t="s">
        <v>86</v>
      </c>
      <c r="D14" s="18" t="s">
        <v>41</v>
      </c>
      <c r="E14" s="18" t="s">
        <v>42</v>
      </c>
      <c r="F14" s="29">
        <v>44688</v>
      </c>
      <c r="G14" s="18" t="s">
        <v>87</v>
      </c>
      <c r="H14" s="18" t="s">
        <v>88</v>
      </c>
      <c r="I14" s="30">
        <v>135430</v>
      </c>
      <c r="J14" s="28"/>
    </row>
    <row r="15" spans="2:10" ht="15.75" customHeight="1" x14ac:dyDescent="0.3">
      <c r="B15" s="17" t="s">
        <v>89</v>
      </c>
      <c r="C15" s="18" t="s">
        <v>90</v>
      </c>
      <c r="D15" s="18" t="s">
        <v>47</v>
      </c>
      <c r="E15" s="18" t="s">
        <v>53</v>
      </c>
      <c r="F15" s="29">
        <v>44692</v>
      </c>
      <c r="G15" s="18" t="s">
        <v>91</v>
      </c>
      <c r="H15" s="18" t="s">
        <v>92</v>
      </c>
      <c r="I15" s="30">
        <v>187020</v>
      </c>
      <c r="J15" s="28"/>
    </row>
    <row r="16" spans="2:10" ht="15.75" customHeight="1" x14ac:dyDescent="0.3">
      <c r="B16" s="17" t="s">
        <v>93</v>
      </c>
      <c r="C16" s="18" t="s">
        <v>94</v>
      </c>
      <c r="D16" s="18" t="s">
        <v>47</v>
      </c>
      <c r="E16" s="18" t="s">
        <v>48</v>
      </c>
      <c r="F16" s="29">
        <v>44701</v>
      </c>
      <c r="G16" s="18" t="s">
        <v>95</v>
      </c>
      <c r="H16" s="18" t="s">
        <v>96</v>
      </c>
      <c r="I16" s="30">
        <v>98456</v>
      </c>
      <c r="J16" s="28"/>
    </row>
    <row r="17" spans="2:13" ht="15.75" customHeight="1" x14ac:dyDescent="0.3">
      <c r="B17" s="17" t="s">
        <v>97</v>
      </c>
      <c r="C17" s="18" t="s">
        <v>98</v>
      </c>
      <c r="D17" s="18" t="s">
        <v>47</v>
      </c>
      <c r="E17" s="18" t="s">
        <v>42</v>
      </c>
      <c r="F17" s="29">
        <v>44710</v>
      </c>
      <c r="G17" s="18" t="s">
        <v>99</v>
      </c>
      <c r="H17" s="18" t="s">
        <v>100</v>
      </c>
      <c r="I17" s="30">
        <v>20400</v>
      </c>
      <c r="J17" s="28"/>
    </row>
    <row r="18" spans="2:13" ht="15.75" customHeight="1" x14ac:dyDescent="0.3">
      <c r="B18" s="17" t="s">
        <v>101</v>
      </c>
      <c r="C18" s="18" t="s">
        <v>102</v>
      </c>
      <c r="D18" s="18" t="s">
        <v>47</v>
      </c>
      <c r="E18" s="18" t="s">
        <v>53</v>
      </c>
      <c r="F18" s="29">
        <v>44710</v>
      </c>
      <c r="G18" s="18" t="s">
        <v>122</v>
      </c>
      <c r="H18" s="18" t="s">
        <v>103</v>
      </c>
      <c r="I18" s="30">
        <v>35455</v>
      </c>
      <c r="J18" s="28"/>
    </row>
    <row r="19" spans="2:13" ht="15.75" customHeight="1" x14ac:dyDescent="0.3">
      <c r="B19" s="17" t="s">
        <v>104</v>
      </c>
      <c r="C19" s="18" t="s">
        <v>105</v>
      </c>
      <c r="D19" s="18" t="s">
        <v>47</v>
      </c>
      <c r="E19" s="18" t="s">
        <v>70</v>
      </c>
      <c r="F19" s="29">
        <v>44710</v>
      </c>
      <c r="G19" s="18" t="s">
        <v>123</v>
      </c>
      <c r="H19" s="18" t="s">
        <v>106</v>
      </c>
      <c r="I19" s="30">
        <v>72465</v>
      </c>
      <c r="J19" s="28"/>
      <c r="M19" s="11"/>
    </row>
    <row r="20" spans="2:13" ht="15.75" customHeight="1" x14ac:dyDescent="0.3">
      <c r="B20" s="17" t="s">
        <v>107</v>
      </c>
      <c r="C20" s="18" t="s">
        <v>108</v>
      </c>
      <c r="D20" s="18" t="s">
        <v>47</v>
      </c>
      <c r="E20" s="18" t="s">
        <v>42</v>
      </c>
      <c r="F20" s="29">
        <v>44710</v>
      </c>
      <c r="G20" s="18" t="s">
        <v>124</v>
      </c>
      <c r="H20" s="18" t="s">
        <v>109</v>
      </c>
      <c r="I20" s="30">
        <v>107956</v>
      </c>
      <c r="J20" s="28"/>
    </row>
    <row r="21" spans="2:13" ht="15.75" customHeight="1" x14ac:dyDescent="0.3">
      <c r="B21" s="17" t="s">
        <v>110</v>
      </c>
      <c r="C21" s="18" t="s">
        <v>111</v>
      </c>
      <c r="D21" s="18" t="s">
        <v>47</v>
      </c>
      <c r="E21" s="18" t="s">
        <v>112</v>
      </c>
      <c r="F21" s="29">
        <v>44562</v>
      </c>
      <c r="G21" s="18" t="s">
        <v>125</v>
      </c>
      <c r="H21" s="18" t="s">
        <v>113</v>
      </c>
      <c r="I21" s="30">
        <v>252200</v>
      </c>
      <c r="J21" s="28"/>
    </row>
    <row r="22" spans="2:13" ht="15.75" customHeight="1" x14ac:dyDescent="0.3">
      <c r="B22" s="17" t="s">
        <v>114</v>
      </c>
      <c r="C22" s="18" t="s">
        <v>115</v>
      </c>
      <c r="D22" s="18" t="s">
        <v>41</v>
      </c>
      <c r="E22" s="18" t="s">
        <v>53</v>
      </c>
      <c r="F22" s="29">
        <v>44676</v>
      </c>
      <c r="G22" s="18" t="s">
        <v>126</v>
      </c>
      <c r="H22" s="18" t="s">
        <v>116</v>
      </c>
      <c r="I22" s="30">
        <v>24598</v>
      </c>
      <c r="J22" s="28"/>
    </row>
    <row r="23" spans="2:13" ht="15.75" customHeight="1" x14ac:dyDescent="0.3">
      <c r="B23" s="17" t="s">
        <v>117</v>
      </c>
      <c r="C23" s="18" t="s">
        <v>118</v>
      </c>
      <c r="D23" s="18" t="s">
        <v>41</v>
      </c>
      <c r="E23" s="18" t="s">
        <v>42</v>
      </c>
      <c r="F23" s="29">
        <v>44676</v>
      </c>
      <c r="G23" s="18" t="s">
        <v>127</v>
      </c>
      <c r="H23" s="18" t="s">
        <v>119</v>
      </c>
      <c r="I23" s="30">
        <v>77804</v>
      </c>
      <c r="J23" s="28"/>
    </row>
    <row r="24" spans="2:13" ht="15.75" customHeight="1" x14ac:dyDescent="0.25"/>
    <row r="25" spans="2:13" ht="15.75" customHeight="1" x14ac:dyDescent="0.25"/>
    <row r="26" spans="2:13" ht="15.75" customHeight="1" x14ac:dyDescent="0.3">
      <c r="D26" s="78" t="s">
        <v>128</v>
      </c>
      <c r="E26" s="55"/>
      <c r="F26" s="56"/>
      <c r="G26" s="31">
        <f>COUNTIFS(D4:D23,D4)</f>
        <v>7</v>
      </c>
    </row>
    <row r="27" spans="2:13" ht="15.75" customHeight="1" x14ac:dyDescent="0.3">
      <c r="D27" s="79" t="s">
        <v>129</v>
      </c>
      <c r="E27" s="80"/>
      <c r="F27" s="75"/>
      <c r="G27" s="32">
        <f>SUMIFS(I4:I23,D4:D23,D4)</f>
        <v>392427</v>
      </c>
    </row>
    <row r="28" spans="2:13" ht="15.75" customHeight="1" x14ac:dyDescent="0.3">
      <c r="D28" s="79" t="s">
        <v>130</v>
      </c>
      <c r="E28" s="80"/>
      <c r="F28" s="75"/>
      <c r="G28" s="1">
        <f>COUNTIF(F4:F23,"&lt;5/1/2022")</f>
        <v>1</v>
      </c>
      <c r="I28" s="33"/>
    </row>
    <row r="29" spans="2:13" ht="15.75" customHeight="1" x14ac:dyDescent="0.3">
      <c r="D29" s="79" t="s">
        <v>131</v>
      </c>
      <c r="E29" s="80"/>
      <c r="F29" s="75"/>
      <c r="G29" s="32">
        <f>SUMIFS(I4:I23,E4:E23,E10)</f>
        <v>234250</v>
      </c>
    </row>
    <row r="30" spans="2:13" ht="15.75" customHeight="1" x14ac:dyDescent="0.25"/>
    <row r="31" spans="2:13" ht="15.75" customHeight="1" x14ac:dyDescent="0.25"/>
    <row r="32" spans="2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B3:I23" xr:uid="{00000000-0009-0000-0000-000003000000}"/>
  <mergeCells count="4">
    <mergeCell ref="D26:F26"/>
    <mergeCell ref="D27:F27"/>
    <mergeCell ref="D28:F28"/>
    <mergeCell ref="D29:F29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N1000"/>
  <sheetViews>
    <sheetView topLeftCell="A88" workbookViewId="0">
      <selection activeCell="P11" sqref="P11"/>
    </sheetView>
  </sheetViews>
  <sheetFormatPr defaultColWidth="12.6640625" defaultRowHeight="15" customHeight="1" x14ac:dyDescent="0.25"/>
  <sheetData>
    <row r="1" spans="2:14" ht="15.75" customHeight="1" x14ac:dyDescent="0.25"/>
    <row r="2" spans="2:14" ht="15.75" customHeight="1" x14ac:dyDescent="0.3">
      <c r="C2" s="5"/>
      <c r="D2" s="81" t="s">
        <v>132</v>
      </c>
      <c r="E2" s="55"/>
      <c r="F2" s="55"/>
      <c r="G2" s="55"/>
      <c r="H2" s="55"/>
      <c r="I2" s="55"/>
      <c r="J2" s="55"/>
      <c r="K2" s="55"/>
      <c r="L2" s="55"/>
      <c r="M2" s="56"/>
    </row>
    <row r="3" spans="2:14" ht="15.75" customHeight="1" x14ac:dyDescent="0.25"/>
    <row r="4" spans="2:14" ht="15.75" customHeight="1" x14ac:dyDescent="0.25"/>
    <row r="5" spans="2:14" ht="15.75" customHeight="1" x14ac:dyDescent="0.25">
      <c r="B5" s="34" t="s">
        <v>133</v>
      </c>
      <c r="C5" s="35" t="s">
        <v>33</v>
      </c>
      <c r="D5" s="35" t="s">
        <v>134</v>
      </c>
      <c r="E5" s="35" t="s">
        <v>135</v>
      </c>
      <c r="F5" s="35" t="s">
        <v>136</v>
      </c>
      <c r="G5" s="35" t="s">
        <v>137</v>
      </c>
      <c r="H5" s="35" t="s">
        <v>138</v>
      </c>
      <c r="I5" s="35" t="s">
        <v>139</v>
      </c>
      <c r="J5" s="35" t="s">
        <v>140</v>
      </c>
      <c r="K5" s="35" t="s">
        <v>141</v>
      </c>
      <c r="L5" s="35" t="s">
        <v>142</v>
      </c>
      <c r="M5" s="35" t="s">
        <v>143</v>
      </c>
      <c r="N5" s="35" t="s">
        <v>144</v>
      </c>
    </row>
    <row r="6" spans="2:14" ht="15.75" customHeight="1" x14ac:dyDescent="0.25">
      <c r="B6" s="36">
        <v>63</v>
      </c>
      <c r="C6" s="37" t="s">
        <v>218</v>
      </c>
      <c r="D6" s="37" t="s">
        <v>219</v>
      </c>
      <c r="E6" s="1"/>
      <c r="F6" s="38">
        <v>310</v>
      </c>
      <c r="G6" s="38">
        <v>25</v>
      </c>
      <c r="H6" s="38">
        <v>20</v>
      </c>
      <c r="I6" s="38">
        <v>15</v>
      </c>
      <c r="J6" s="38">
        <v>105</v>
      </c>
      <c r="K6" s="38">
        <v>55</v>
      </c>
      <c r="L6" s="38">
        <v>90</v>
      </c>
      <c r="M6" s="38">
        <v>1</v>
      </c>
      <c r="N6" s="39" t="b">
        <v>0</v>
      </c>
    </row>
    <row r="7" spans="2:14" ht="15.75" customHeight="1" x14ac:dyDescent="0.25">
      <c r="B7" s="36">
        <v>142</v>
      </c>
      <c r="C7" s="37" t="s">
        <v>302</v>
      </c>
      <c r="D7" s="37" t="s">
        <v>231</v>
      </c>
      <c r="E7" s="37" t="s">
        <v>154</v>
      </c>
      <c r="F7" s="38">
        <v>515</v>
      </c>
      <c r="G7" s="38">
        <v>80</v>
      </c>
      <c r="H7" s="38">
        <v>105</v>
      </c>
      <c r="I7" s="38">
        <v>65</v>
      </c>
      <c r="J7" s="38">
        <v>60</v>
      </c>
      <c r="K7" s="38">
        <v>75</v>
      </c>
      <c r="L7" s="38">
        <v>130</v>
      </c>
      <c r="M7" s="38">
        <v>1</v>
      </c>
      <c r="N7" s="39" t="b">
        <v>0</v>
      </c>
    </row>
    <row r="8" spans="2:14" ht="15.75" customHeight="1" x14ac:dyDescent="0.25">
      <c r="B8" s="36">
        <v>65</v>
      </c>
      <c r="C8" s="37" t="s">
        <v>221</v>
      </c>
      <c r="D8" s="37" t="s">
        <v>219</v>
      </c>
      <c r="E8" s="1"/>
      <c r="F8" s="38">
        <v>500</v>
      </c>
      <c r="G8" s="38">
        <v>55</v>
      </c>
      <c r="H8" s="38">
        <v>50</v>
      </c>
      <c r="I8" s="38">
        <v>45</v>
      </c>
      <c r="J8" s="38">
        <v>135</v>
      </c>
      <c r="K8" s="38">
        <v>95</v>
      </c>
      <c r="L8" s="38">
        <v>120</v>
      </c>
      <c r="M8" s="38">
        <v>3</v>
      </c>
      <c r="N8" s="39" t="b">
        <v>0</v>
      </c>
    </row>
    <row r="9" spans="2:14" ht="15.75" customHeight="1" x14ac:dyDescent="0.25">
      <c r="B9" s="36">
        <v>24</v>
      </c>
      <c r="C9" s="37" t="s">
        <v>175</v>
      </c>
      <c r="D9" s="37" t="s">
        <v>147</v>
      </c>
      <c r="E9" s="1"/>
      <c r="F9" s="38">
        <v>438</v>
      </c>
      <c r="G9" s="38">
        <v>60</v>
      </c>
      <c r="H9" s="38">
        <v>85</v>
      </c>
      <c r="I9" s="38">
        <v>69</v>
      </c>
      <c r="J9" s="38">
        <v>65</v>
      </c>
      <c r="K9" s="38">
        <v>79</v>
      </c>
      <c r="L9" s="38">
        <v>80</v>
      </c>
      <c r="M9" s="38">
        <v>2</v>
      </c>
      <c r="N9" s="39" t="b">
        <v>0</v>
      </c>
    </row>
    <row r="10" spans="2:14" ht="15.75" customHeight="1" x14ac:dyDescent="0.25">
      <c r="B10" s="36">
        <v>59</v>
      </c>
      <c r="C10" s="37" t="s">
        <v>214</v>
      </c>
      <c r="D10" s="37" t="s">
        <v>151</v>
      </c>
      <c r="E10" s="1"/>
      <c r="F10" s="38">
        <v>555</v>
      </c>
      <c r="G10" s="38">
        <v>90</v>
      </c>
      <c r="H10" s="38">
        <v>110</v>
      </c>
      <c r="I10" s="38">
        <v>80</v>
      </c>
      <c r="J10" s="38">
        <v>100</v>
      </c>
      <c r="K10" s="38">
        <v>80</v>
      </c>
      <c r="L10" s="38">
        <v>95</v>
      </c>
      <c r="M10" s="38">
        <v>2</v>
      </c>
      <c r="N10" s="39" t="b">
        <v>0</v>
      </c>
    </row>
    <row r="11" spans="2:14" ht="15.75" customHeight="1" x14ac:dyDescent="0.25">
      <c r="B11" s="36">
        <v>144</v>
      </c>
      <c r="C11" s="37" t="s">
        <v>304</v>
      </c>
      <c r="D11" s="37" t="s">
        <v>246</v>
      </c>
      <c r="E11" s="37" t="s">
        <v>154</v>
      </c>
      <c r="F11" s="38">
        <v>580</v>
      </c>
      <c r="G11" s="38">
        <v>90</v>
      </c>
      <c r="H11" s="38">
        <v>85</v>
      </c>
      <c r="I11" s="38">
        <v>100</v>
      </c>
      <c r="J11" s="38">
        <v>95</v>
      </c>
      <c r="K11" s="38">
        <v>125</v>
      </c>
      <c r="L11" s="38">
        <v>85</v>
      </c>
      <c r="M11" s="38">
        <v>1</v>
      </c>
      <c r="N11" s="39" t="b">
        <v>1</v>
      </c>
    </row>
    <row r="12" spans="2:14" ht="15.75" customHeight="1" x14ac:dyDescent="0.25">
      <c r="B12" s="36">
        <v>15</v>
      </c>
      <c r="C12" s="37" t="s">
        <v>165</v>
      </c>
      <c r="D12" s="37" t="s">
        <v>160</v>
      </c>
      <c r="E12" s="37" t="s">
        <v>147</v>
      </c>
      <c r="F12" s="38">
        <v>395</v>
      </c>
      <c r="G12" s="38">
        <v>65</v>
      </c>
      <c r="H12" s="38">
        <v>90</v>
      </c>
      <c r="I12" s="38">
        <v>40</v>
      </c>
      <c r="J12" s="38">
        <v>45</v>
      </c>
      <c r="K12" s="38">
        <v>80</v>
      </c>
      <c r="L12" s="38">
        <v>75</v>
      </c>
      <c r="M12" s="38">
        <v>3</v>
      </c>
      <c r="N12" s="39" t="b">
        <v>0</v>
      </c>
    </row>
    <row r="13" spans="2:14" ht="15.75" customHeight="1" x14ac:dyDescent="0.25">
      <c r="B13" s="36">
        <v>69</v>
      </c>
      <c r="C13" s="37" t="s">
        <v>225</v>
      </c>
      <c r="D13" s="37" t="s">
        <v>146</v>
      </c>
      <c r="E13" s="37" t="s">
        <v>147</v>
      </c>
      <c r="F13" s="38">
        <v>300</v>
      </c>
      <c r="G13" s="38">
        <v>50</v>
      </c>
      <c r="H13" s="38">
        <v>75</v>
      </c>
      <c r="I13" s="38">
        <v>35</v>
      </c>
      <c r="J13" s="38">
        <v>70</v>
      </c>
      <c r="K13" s="38">
        <v>30</v>
      </c>
      <c r="L13" s="38">
        <v>40</v>
      </c>
      <c r="M13" s="38">
        <v>1</v>
      </c>
      <c r="N13" s="39" t="b">
        <v>0</v>
      </c>
    </row>
    <row r="14" spans="2:14" ht="15.75" customHeight="1" x14ac:dyDescent="0.25">
      <c r="B14" s="36">
        <v>9</v>
      </c>
      <c r="C14" s="37" t="s">
        <v>158</v>
      </c>
      <c r="D14" s="37" t="s">
        <v>156</v>
      </c>
      <c r="E14" s="1"/>
      <c r="F14" s="38">
        <v>530</v>
      </c>
      <c r="G14" s="38">
        <v>79</v>
      </c>
      <c r="H14" s="38">
        <v>83</v>
      </c>
      <c r="I14" s="38">
        <v>100</v>
      </c>
      <c r="J14" s="38">
        <v>85</v>
      </c>
      <c r="K14" s="38">
        <v>105</v>
      </c>
      <c r="L14" s="38">
        <v>78</v>
      </c>
      <c r="M14" s="38">
        <v>3</v>
      </c>
      <c r="N14" s="39" t="b">
        <v>0</v>
      </c>
    </row>
    <row r="15" spans="2:14" ht="15.75" customHeight="1" x14ac:dyDescent="0.25">
      <c r="B15" s="36">
        <v>1</v>
      </c>
      <c r="C15" s="37" t="s">
        <v>145</v>
      </c>
      <c r="D15" s="37" t="s">
        <v>146</v>
      </c>
      <c r="E15" s="37" t="s">
        <v>147</v>
      </c>
      <c r="F15" s="38">
        <v>318</v>
      </c>
      <c r="G15" s="38">
        <v>45</v>
      </c>
      <c r="H15" s="38">
        <v>49</v>
      </c>
      <c r="I15" s="38">
        <v>49</v>
      </c>
      <c r="J15" s="38">
        <v>65</v>
      </c>
      <c r="K15" s="38">
        <v>65</v>
      </c>
      <c r="L15" s="38">
        <v>45</v>
      </c>
      <c r="M15" s="38">
        <v>1</v>
      </c>
      <c r="N15" s="39" t="b">
        <v>0</v>
      </c>
    </row>
    <row r="16" spans="2:14" ht="15.75" customHeight="1" x14ac:dyDescent="0.25">
      <c r="B16" s="36">
        <v>12</v>
      </c>
      <c r="C16" s="37" t="s">
        <v>162</v>
      </c>
      <c r="D16" s="37" t="s">
        <v>160</v>
      </c>
      <c r="E16" s="37" t="s">
        <v>154</v>
      </c>
      <c r="F16" s="38">
        <v>395</v>
      </c>
      <c r="G16" s="38">
        <v>60</v>
      </c>
      <c r="H16" s="38">
        <v>45</v>
      </c>
      <c r="I16" s="38">
        <v>50</v>
      </c>
      <c r="J16" s="38">
        <v>90</v>
      </c>
      <c r="K16" s="38">
        <v>80</v>
      </c>
      <c r="L16" s="38">
        <v>70</v>
      </c>
      <c r="M16" s="38">
        <v>3</v>
      </c>
      <c r="N16" s="39" t="b">
        <v>0</v>
      </c>
    </row>
    <row r="17" spans="2:14" ht="15.75" customHeight="1" x14ac:dyDescent="0.25">
      <c r="B17" s="36">
        <v>10</v>
      </c>
      <c r="C17" s="37" t="s">
        <v>159</v>
      </c>
      <c r="D17" s="37" t="s">
        <v>160</v>
      </c>
      <c r="E17" s="1"/>
      <c r="F17" s="38">
        <v>195</v>
      </c>
      <c r="G17" s="38">
        <v>45</v>
      </c>
      <c r="H17" s="38">
        <v>30</v>
      </c>
      <c r="I17" s="38">
        <v>35</v>
      </c>
      <c r="J17" s="38">
        <v>20</v>
      </c>
      <c r="K17" s="38">
        <v>20</v>
      </c>
      <c r="L17" s="38">
        <v>45</v>
      </c>
      <c r="M17" s="38">
        <v>1</v>
      </c>
      <c r="N17" s="39" t="b">
        <v>0</v>
      </c>
    </row>
    <row r="18" spans="2:14" ht="15.75" customHeight="1" x14ac:dyDescent="0.25">
      <c r="B18" s="36">
        <v>113</v>
      </c>
      <c r="C18" s="37" t="s">
        <v>273</v>
      </c>
      <c r="D18" s="37" t="s">
        <v>167</v>
      </c>
      <c r="E18" s="1"/>
      <c r="F18" s="38">
        <v>450</v>
      </c>
      <c r="G18" s="38">
        <v>250</v>
      </c>
      <c r="H18" s="38">
        <v>5</v>
      </c>
      <c r="I18" s="38">
        <v>5</v>
      </c>
      <c r="J18" s="38">
        <v>35</v>
      </c>
      <c r="K18" s="38">
        <v>105</v>
      </c>
      <c r="L18" s="38">
        <v>50</v>
      </c>
      <c r="M18" s="38">
        <v>1</v>
      </c>
      <c r="N18" s="39" t="b">
        <v>0</v>
      </c>
    </row>
    <row r="19" spans="2:14" ht="15.75" customHeight="1" x14ac:dyDescent="0.25">
      <c r="B19" s="36">
        <v>6</v>
      </c>
      <c r="C19" s="37" t="s">
        <v>153</v>
      </c>
      <c r="D19" s="37" t="s">
        <v>151</v>
      </c>
      <c r="E19" s="37" t="s">
        <v>154</v>
      </c>
      <c r="F19" s="38">
        <v>534</v>
      </c>
      <c r="G19" s="38">
        <v>78</v>
      </c>
      <c r="H19" s="38">
        <v>84</v>
      </c>
      <c r="I19" s="38">
        <v>78</v>
      </c>
      <c r="J19" s="38">
        <v>109</v>
      </c>
      <c r="K19" s="38">
        <v>85</v>
      </c>
      <c r="L19" s="38">
        <v>100</v>
      </c>
      <c r="M19" s="38">
        <v>3</v>
      </c>
      <c r="N19" s="39" t="b">
        <v>0</v>
      </c>
    </row>
    <row r="20" spans="2:14" ht="15.75" customHeight="1" x14ac:dyDescent="0.25">
      <c r="B20" s="36">
        <v>4</v>
      </c>
      <c r="C20" s="37" t="s">
        <v>150</v>
      </c>
      <c r="D20" s="37" t="s">
        <v>151</v>
      </c>
      <c r="E20" s="1"/>
      <c r="F20" s="38">
        <v>309</v>
      </c>
      <c r="G20" s="38">
        <v>39</v>
      </c>
      <c r="H20" s="38">
        <v>52</v>
      </c>
      <c r="I20" s="38">
        <v>43</v>
      </c>
      <c r="J20" s="38">
        <v>60</v>
      </c>
      <c r="K20" s="38">
        <v>50</v>
      </c>
      <c r="L20" s="38">
        <v>65</v>
      </c>
      <c r="M20" s="38">
        <v>1</v>
      </c>
      <c r="N20" s="39" t="b">
        <v>0</v>
      </c>
    </row>
    <row r="21" spans="2:14" ht="15.75" customHeight="1" x14ac:dyDescent="0.25">
      <c r="B21" s="36">
        <v>5</v>
      </c>
      <c r="C21" s="37" t="s">
        <v>152</v>
      </c>
      <c r="D21" s="37" t="s">
        <v>151</v>
      </c>
      <c r="E21" s="1"/>
      <c r="F21" s="38">
        <v>405</v>
      </c>
      <c r="G21" s="38">
        <v>58</v>
      </c>
      <c r="H21" s="38">
        <v>64</v>
      </c>
      <c r="I21" s="38">
        <v>58</v>
      </c>
      <c r="J21" s="38">
        <v>80</v>
      </c>
      <c r="K21" s="38">
        <v>65</v>
      </c>
      <c r="L21" s="38">
        <v>80</v>
      </c>
      <c r="M21" s="38">
        <v>2</v>
      </c>
      <c r="N21" s="39" t="b">
        <v>0</v>
      </c>
    </row>
    <row r="22" spans="2:14" ht="15.75" customHeight="1" x14ac:dyDescent="0.25">
      <c r="B22" s="36">
        <v>36</v>
      </c>
      <c r="C22" s="37" t="s">
        <v>190</v>
      </c>
      <c r="D22" s="37" t="s">
        <v>189</v>
      </c>
      <c r="E22" s="1"/>
      <c r="F22" s="38">
        <v>483</v>
      </c>
      <c r="G22" s="38">
        <v>95</v>
      </c>
      <c r="H22" s="38">
        <v>70</v>
      </c>
      <c r="I22" s="38">
        <v>73</v>
      </c>
      <c r="J22" s="38">
        <v>95</v>
      </c>
      <c r="K22" s="38">
        <v>90</v>
      </c>
      <c r="L22" s="38">
        <v>60</v>
      </c>
      <c r="M22" s="38">
        <v>2</v>
      </c>
      <c r="N22" s="39" t="b">
        <v>0</v>
      </c>
    </row>
    <row r="23" spans="2:14" ht="15.75" customHeight="1" x14ac:dyDescent="0.25">
      <c r="B23" s="36">
        <v>35</v>
      </c>
      <c r="C23" s="37" t="s">
        <v>188</v>
      </c>
      <c r="D23" s="37" t="s">
        <v>189</v>
      </c>
      <c r="E23" s="1"/>
      <c r="F23" s="38">
        <v>323</v>
      </c>
      <c r="G23" s="38">
        <v>70</v>
      </c>
      <c r="H23" s="38">
        <v>45</v>
      </c>
      <c r="I23" s="38">
        <v>48</v>
      </c>
      <c r="J23" s="38">
        <v>60</v>
      </c>
      <c r="K23" s="38">
        <v>65</v>
      </c>
      <c r="L23" s="38">
        <v>35</v>
      </c>
      <c r="M23" s="38">
        <v>1</v>
      </c>
      <c r="N23" s="39" t="b">
        <v>0</v>
      </c>
    </row>
    <row r="24" spans="2:14" ht="15.75" customHeight="1" x14ac:dyDescent="0.25">
      <c r="B24" s="36">
        <v>91</v>
      </c>
      <c r="C24" s="37" t="s">
        <v>250</v>
      </c>
      <c r="D24" s="37" t="s">
        <v>156</v>
      </c>
      <c r="E24" s="37" t="s">
        <v>246</v>
      </c>
      <c r="F24" s="38">
        <v>525</v>
      </c>
      <c r="G24" s="38">
        <v>50</v>
      </c>
      <c r="H24" s="38">
        <v>95</v>
      </c>
      <c r="I24" s="38">
        <v>180</v>
      </c>
      <c r="J24" s="38">
        <v>85</v>
      </c>
      <c r="K24" s="38">
        <v>45</v>
      </c>
      <c r="L24" s="38">
        <v>70</v>
      </c>
      <c r="M24" s="38">
        <v>2</v>
      </c>
      <c r="N24" s="39" t="b">
        <v>0</v>
      </c>
    </row>
    <row r="25" spans="2:14" ht="15.75" customHeight="1" x14ac:dyDescent="0.25">
      <c r="B25" s="36">
        <v>104</v>
      </c>
      <c r="C25" s="37" t="s">
        <v>264</v>
      </c>
      <c r="D25" s="37" t="s">
        <v>180</v>
      </c>
      <c r="E25" s="1"/>
      <c r="F25" s="38">
        <v>320</v>
      </c>
      <c r="G25" s="38">
        <v>50</v>
      </c>
      <c r="H25" s="38">
        <v>50</v>
      </c>
      <c r="I25" s="38">
        <v>95</v>
      </c>
      <c r="J25" s="38">
        <v>40</v>
      </c>
      <c r="K25" s="38">
        <v>50</v>
      </c>
      <c r="L25" s="38">
        <v>35</v>
      </c>
      <c r="M25" s="38">
        <v>1</v>
      </c>
      <c r="N25" s="39" t="b">
        <v>0</v>
      </c>
    </row>
    <row r="26" spans="2:14" ht="15.75" customHeight="1" x14ac:dyDescent="0.25">
      <c r="B26" s="36">
        <v>87</v>
      </c>
      <c r="C26" s="37" t="s">
        <v>245</v>
      </c>
      <c r="D26" s="37" t="s">
        <v>156</v>
      </c>
      <c r="E26" s="37" t="s">
        <v>246</v>
      </c>
      <c r="F26" s="38">
        <v>475</v>
      </c>
      <c r="G26" s="38">
        <v>90</v>
      </c>
      <c r="H26" s="38">
        <v>70</v>
      </c>
      <c r="I26" s="38">
        <v>80</v>
      </c>
      <c r="J26" s="38">
        <v>70</v>
      </c>
      <c r="K26" s="38">
        <v>95</v>
      </c>
      <c r="L26" s="38">
        <v>70</v>
      </c>
      <c r="M26" s="38">
        <v>2</v>
      </c>
      <c r="N26" s="39" t="b">
        <v>0</v>
      </c>
    </row>
    <row r="27" spans="2:14" ht="15.75" customHeight="1" x14ac:dyDescent="0.25">
      <c r="B27" s="36">
        <v>50</v>
      </c>
      <c r="C27" s="37" t="s">
        <v>204</v>
      </c>
      <c r="D27" s="37" t="s">
        <v>180</v>
      </c>
      <c r="E27" s="1"/>
      <c r="F27" s="38">
        <v>265</v>
      </c>
      <c r="G27" s="38">
        <v>10</v>
      </c>
      <c r="H27" s="38">
        <v>55</v>
      </c>
      <c r="I27" s="38">
        <v>25</v>
      </c>
      <c r="J27" s="38">
        <v>35</v>
      </c>
      <c r="K27" s="38">
        <v>45</v>
      </c>
      <c r="L27" s="38">
        <v>95</v>
      </c>
      <c r="M27" s="38">
        <v>1</v>
      </c>
      <c r="N27" s="39" t="b">
        <v>0</v>
      </c>
    </row>
    <row r="28" spans="2:14" ht="15.75" customHeight="1" x14ac:dyDescent="0.25">
      <c r="B28" s="36">
        <v>132</v>
      </c>
      <c r="C28" s="37" t="s">
        <v>292</v>
      </c>
      <c r="D28" s="37" t="s">
        <v>167</v>
      </c>
      <c r="E28" s="1"/>
      <c r="F28" s="38">
        <v>288</v>
      </c>
      <c r="G28" s="38">
        <v>48</v>
      </c>
      <c r="H28" s="38">
        <v>48</v>
      </c>
      <c r="I28" s="38">
        <v>48</v>
      </c>
      <c r="J28" s="38">
        <v>48</v>
      </c>
      <c r="K28" s="38">
        <v>48</v>
      </c>
      <c r="L28" s="38">
        <v>48</v>
      </c>
      <c r="M28" s="38">
        <v>1</v>
      </c>
      <c r="N28" s="39" t="b">
        <v>0</v>
      </c>
    </row>
    <row r="29" spans="2:14" ht="15.75" customHeight="1" x14ac:dyDescent="0.25">
      <c r="B29" s="36">
        <v>85</v>
      </c>
      <c r="C29" s="37" t="s">
        <v>243</v>
      </c>
      <c r="D29" s="37" t="s">
        <v>167</v>
      </c>
      <c r="E29" s="37" t="s">
        <v>154</v>
      </c>
      <c r="F29" s="38">
        <v>460</v>
      </c>
      <c r="G29" s="38">
        <v>60</v>
      </c>
      <c r="H29" s="38">
        <v>110</v>
      </c>
      <c r="I29" s="38">
        <v>70</v>
      </c>
      <c r="J29" s="38">
        <v>60</v>
      </c>
      <c r="K29" s="38">
        <v>60</v>
      </c>
      <c r="L29" s="38">
        <v>100</v>
      </c>
      <c r="M29" s="38">
        <v>2</v>
      </c>
      <c r="N29" s="39" t="b">
        <v>0</v>
      </c>
    </row>
    <row r="30" spans="2:14" ht="15.75" customHeight="1" x14ac:dyDescent="0.25">
      <c r="B30" s="36">
        <v>84</v>
      </c>
      <c r="C30" s="37" t="s">
        <v>242</v>
      </c>
      <c r="D30" s="37" t="s">
        <v>167</v>
      </c>
      <c r="E30" s="37" t="s">
        <v>154</v>
      </c>
      <c r="F30" s="38">
        <v>310</v>
      </c>
      <c r="G30" s="38">
        <v>35</v>
      </c>
      <c r="H30" s="38">
        <v>85</v>
      </c>
      <c r="I30" s="38">
        <v>45</v>
      </c>
      <c r="J30" s="38">
        <v>35</v>
      </c>
      <c r="K30" s="38">
        <v>35</v>
      </c>
      <c r="L30" s="38">
        <v>75</v>
      </c>
      <c r="M30" s="38">
        <v>1</v>
      </c>
      <c r="N30" s="39" t="b">
        <v>0</v>
      </c>
    </row>
    <row r="31" spans="2:14" ht="15.75" customHeight="1" x14ac:dyDescent="0.25">
      <c r="B31" s="36">
        <v>148</v>
      </c>
      <c r="C31" s="37" t="s">
        <v>309</v>
      </c>
      <c r="D31" s="37" t="s">
        <v>308</v>
      </c>
      <c r="E31" s="1"/>
      <c r="F31" s="38">
        <v>420</v>
      </c>
      <c r="G31" s="38">
        <v>61</v>
      </c>
      <c r="H31" s="38">
        <v>84</v>
      </c>
      <c r="I31" s="38">
        <v>65</v>
      </c>
      <c r="J31" s="38">
        <v>70</v>
      </c>
      <c r="K31" s="38">
        <v>70</v>
      </c>
      <c r="L31" s="38">
        <v>70</v>
      </c>
      <c r="M31" s="38">
        <v>2</v>
      </c>
      <c r="N31" s="39" t="b">
        <v>0</v>
      </c>
    </row>
    <row r="32" spans="2:14" ht="15.75" customHeight="1" x14ac:dyDescent="0.25">
      <c r="B32" s="36">
        <v>149</v>
      </c>
      <c r="C32" s="37" t="s">
        <v>310</v>
      </c>
      <c r="D32" s="37" t="s">
        <v>308</v>
      </c>
      <c r="E32" s="37" t="s">
        <v>154</v>
      </c>
      <c r="F32" s="38">
        <v>600</v>
      </c>
      <c r="G32" s="38">
        <v>91</v>
      </c>
      <c r="H32" s="38">
        <v>134</v>
      </c>
      <c r="I32" s="38">
        <v>95</v>
      </c>
      <c r="J32" s="38">
        <v>100</v>
      </c>
      <c r="K32" s="38">
        <v>100</v>
      </c>
      <c r="L32" s="38">
        <v>80</v>
      </c>
      <c r="M32" s="38">
        <v>3</v>
      </c>
      <c r="N32" s="39" t="b">
        <v>0</v>
      </c>
    </row>
    <row r="33" spans="2:14" ht="15.75" customHeight="1" x14ac:dyDescent="0.25">
      <c r="B33" s="36">
        <v>147</v>
      </c>
      <c r="C33" s="37" t="s">
        <v>307</v>
      </c>
      <c r="D33" s="37" t="s">
        <v>308</v>
      </c>
      <c r="E33" s="1"/>
      <c r="F33" s="38">
        <v>300</v>
      </c>
      <c r="G33" s="38">
        <v>41</v>
      </c>
      <c r="H33" s="38">
        <v>64</v>
      </c>
      <c r="I33" s="38">
        <v>45</v>
      </c>
      <c r="J33" s="38">
        <v>50</v>
      </c>
      <c r="K33" s="38">
        <v>50</v>
      </c>
      <c r="L33" s="38">
        <v>50</v>
      </c>
      <c r="M33" s="38">
        <v>1</v>
      </c>
      <c r="N33" s="39" t="b">
        <v>0</v>
      </c>
    </row>
    <row r="34" spans="2:14" ht="15.75" customHeight="1" x14ac:dyDescent="0.25">
      <c r="B34" s="36">
        <v>96</v>
      </c>
      <c r="C34" s="37" t="s">
        <v>256</v>
      </c>
      <c r="D34" s="37" t="s">
        <v>219</v>
      </c>
      <c r="E34" s="1"/>
      <c r="F34" s="38">
        <v>328</v>
      </c>
      <c r="G34" s="38">
        <v>60</v>
      </c>
      <c r="H34" s="38">
        <v>48</v>
      </c>
      <c r="I34" s="38">
        <v>45</v>
      </c>
      <c r="J34" s="38">
        <v>43</v>
      </c>
      <c r="K34" s="38">
        <v>90</v>
      </c>
      <c r="L34" s="38">
        <v>42</v>
      </c>
      <c r="M34" s="38">
        <v>1</v>
      </c>
      <c r="N34" s="39" t="b">
        <v>0</v>
      </c>
    </row>
    <row r="35" spans="2:14" ht="15.75" customHeight="1" x14ac:dyDescent="0.25">
      <c r="B35" s="36">
        <v>51</v>
      </c>
      <c r="C35" s="37" t="s">
        <v>205</v>
      </c>
      <c r="D35" s="37" t="s">
        <v>180</v>
      </c>
      <c r="E35" s="1"/>
      <c r="F35" s="38">
        <v>405</v>
      </c>
      <c r="G35" s="38">
        <v>35</v>
      </c>
      <c r="H35" s="38">
        <v>80</v>
      </c>
      <c r="I35" s="38">
        <v>50</v>
      </c>
      <c r="J35" s="38">
        <v>50</v>
      </c>
      <c r="K35" s="38">
        <v>70</v>
      </c>
      <c r="L35" s="38">
        <v>120</v>
      </c>
      <c r="M35" s="38">
        <v>2</v>
      </c>
      <c r="N35" s="39" t="b">
        <v>0</v>
      </c>
    </row>
    <row r="36" spans="2:14" ht="15.75" customHeight="1" x14ac:dyDescent="0.25">
      <c r="B36" s="36">
        <v>133</v>
      </c>
      <c r="C36" s="37" t="s">
        <v>293</v>
      </c>
      <c r="D36" s="37" t="s">
        <v>167</v>
      </c>
      <c r="E36" s="1"/>
      <c r="F36" s="38">
        <v>325</v>
      </c>
      <c r="G36" s="38">
        <v>55</v>
      </c>
      <c r="H36" s="38">
        <v>55</v>
      </c>
      <c r="I36" s="38">
        <v>50</v>
      </c>
      <c r="J36" s="38">
        <v>45</v>
      </c>
      <c r="K36" s="38">
        <v>65</v>
      </c>
      <c r="L36" s="38">
        <v>55</v>
      </c>
      <c r="M36" s="38">
        <v>1</v>
      </c>
      <c r="N36" s="39" t="b">
        <v>0</v>
      </c>
    </row>
    <row r="37" spans="2:14" ht="15.75" customHeight="1" x14ac:dyDescent="0.25">
      <c r="B37" s="36">
        <v>23</v>
      </c>
      <c r="C37" s="37" t="s">
        <v>174</v>
      </c>
      <c r="D37" s="37" t="s">
        <v>147</v>
      </c>
      <c r="E37" s="1"/>
      <c r="F37" s="38">
        <v>288</v>
      </c>
      <c r="G37" s="38">
        <v>35</v>
      </c>
      <c r="H37" s="38">
        <v>60</v>
      </c>
      <c r="I37" s="38">
        <v>44</v>
      </c>
      <c r="J37" s="38">
        <v>40</v>
      </c>
      <c r="K37" s="38">
        <v>54</v>
      </c>
      <c r="L37" s="38">
        <v>55</v>
      </c>
      <c r="M37" s="38">
        <v>1</v>
      </c>
      <c r="N37" s="39" t="b">
        <v>0</v>
      </c>
    </row>
    <row r="38" spans="2:14" ht="15.75" customHeight="1" x14ac:dyDescent="0.25">
      <c r="B38" s="36">
        <v>125</v>
      </c>
      <c r="C38" s="37" t="s">
        <v>285</v>
      </c>
      <c r="D38" s="37" t="s">
        <v>177</v>
      </c>
      <c r="E38" s="1"/>
      <c r="F38" s="38">
        <v>490</v>
      </c>
      <c r="G38" s="38">
        <v>65</v>
      </c>
      <c r="H38" s="38">
        <v>83</v>
      </c>
      <c r="I38" s="38">
        <v>57</v>
      </c>
      <c r="J38" s="38">
        <v>95</v>
      </c>
      <c r="K38" s="38">
        <v>85</v>
      </c>
      <c r="L38" s="38">
        <v>105</v>
      </c>
      <c r="M38" s="38">
        <v>1</v>
      </c>
      <c r="N38" s="39" t="b">
        <v>0</v>
      </c>
    </row>
    <row r="39" spans="2:14" ht="15.75" customHeight="1" x14ac:dyDescent="0.25">
      <c r="B39" s="36">
        <v>101</v>
      </c>
      <c r="C39" s="37" t="s">
        <v>261</v>
      </c>
      <c r="D39" s="37" t="s">
        <v>177</v>
      </c>
      <c r="E39" s="1"/>
      <c r="F39" s="38">
        <v>480</v>
      </c>
      <c r="G39" s="38">
        <v>60</v>
      </c>
      <c r="H39" s="38">
        <v>50</v>
      </c>
      <c r="I39" s="38">
        <v>70</v>
      </c>
      <c r="J39" s="38">
        <v>80</v>
      </c>
      <c r="K39" s="38">
        <v>80</v>
      </c>
      <c r="L39" s="38">
        <v>140</v>
      </c>
      <c r="M39" s="38">
        <v>2</v>
      </c>
      <c r="N39" s="39" t="b">
        <v>0</v>
      </c>
    </row>
    <row r="40" spans="2:14" ht="15.75" customHeight="1" x14ac:dyDescent="0.25">
      <c r="B40" s="36">
        <v>102</v>
      </c>
      <c r="C40" s="37" t="s">
        <v>262</v>
      </c>
      <c r="D40" s="37" t="s">
        <v>146</v>
      </c>
      <c r="E40" s="37" t="s">
        <v>219</v>
      </c>
      <c r="F40" s="38">
        <v>325</v>
      </c>
      <c r="G40" s="38">
        <v>60</v>
      </c>
      <c r="H40" s="38">
        <v>40</v>
      </c>
      <c r="I40" s="38">
        <v>80</v>
      </c>
      <c r="J40" s="38">
        <v>60</v>
      </c>
      <c r="K40" s="38">
        <v>45</v>
      </c>
      <c r="L40" s="38">
        <v>40</v>
      </c>
      <c r="M40" s="38">
        <v>1</v>
      </c>
      <c r="N40" s="39" t="b">
        <v>0</v>
      </c>
    </row>
    <row r="41" spans="2:14" ht="15.75" customHeight="1" x14ac:dyDescent="0.25">
      <c r="B41" s="36">
        <v>103</v>
      </c>
      <c r="C41" s="37" t="s">
        <v>263</v>
      </c>
      <c r="D41" s="37" t="s">
        <v>146</v>
      </c>
      <c r="E41" s="37" t="s">
        <v>219</v>
      </c>
      <c r="F41" s="38">
        <v>520</v>
      </c>
      <c r="G41" s="38">
        <v>95</v>
      </c>
      <c r="H41" s="38">
        <v>95</v>
      </c>
      <c r="I41" s="38">
        <v>85</v>
      </c>
      <c r="J41" s="38">
        <v>125</v>
      </c>
      <c r="K41" s="38">
        <v>65</v>
      </c>
      <c r="L41" s="38">
        <v>55</v>
      </c>
      <c r="M41" s="38">
        <v>2</v>
      </c>
      <c r="N41" s="39" t="b">
        <v>0</v>
      </c>
    </row>
    <row r="42" spans="2:14" ht="15.75" customHeight="1" x14ac:dyDescent="0.25">
      <c r="B42" s="36">
        <v>83</v>
      </c>
      <c r="C42" s="37" t="s">
        <v>241</v>
      </c>
      <c r="D42" s="37" t="s">
        <v>167</v>
      </c>
      <c r="E42" s="37" t="s">
        <v>154</v>
      </c>
      <c r="F42" s="38">
        <v>352</v>
      </c>
      <c r="G42" s="38">
        <v>52</v>
      </c>
      <c r="H42" s="38">
        <v>65</v>
      </c>
      <c r="I42" s="38">
        <v>55</v>
      </c>
      <c r="J42" s="38">
        <v>58</v>
      </c>
      <c r="K42" s="38">
        <v>62</v>
      </c>
      <c r="L42" s="38">
        <v>60</v>
      </c>
      <c r="M42" s="38">
        <v>1</v>
      </c>
      <c r="N42" s="39" t="b">
        <v>0</v>
      </c>
    </row>
    <row r="43" spans="2:14" ht="15.75" customHeight="1" x14ac:dyDescent="0.25">
      <c r="B43" s="36">
        <v>22</v>
      </c>
      <c r="C43" s="37" t="s">
        <v>173</v>
      </c>
      <c r="D43" s="37" t="s">
        <v>167</v>
      </c>
      <c r="E43" s="37" t="s">
        <v>154</v>
      </c>
      <c r="F43" s="38">
        <v>442</v>
      </c>
      <c r="G43" s="38">
        <v>65</v>
      </c>
      <c r="H43" s="38">
        <v>90</v>
      </c>
      <c r="I43" s="38">
        <v>65</v>
      </c>
      <c r="J43" s="38">
        <v>61</v>
      </c>
      <c r="K43" s="38">
        <v>61</v>
      </c>
      <c r="L43" s="38">
        <v>100</v>
      </c>
      <c r="M43" s="38">
        <v>2</v>
      </c>
      <c r="N43" s="39" t="b">
        <v>0</v>
      </c>
    </row>
    <row r="44" spans="2:14" ht="15.75" customHeight="1" x14ac:dyDescent="0.25">
      <c r="B44" s="36">
        <v>136</v>
      </c>
      <c r="C44" s="37" t="s">
        <v>296</v>
      </c>
      <c r="D44" s="37" t="s">
        <v>151</v>
      </c>
      <c r="E44" s="1"/>
      <c r="F44" s="38">
        <v>525</v>
      </c>
      <c r="G44" s="38">
        <v>65</v>
      </c>
      <c r="H44" s="38">
        <v>130</v>
      </c>
      <c r="I44" s="38">
        <v>60</v>
      </c>
      <c r="J44" s="38">
        <v>95</v>
      </c>
      <c r="K44" s="38">
        <v>110</v>
      </c>
      <c r="L44" s="38">
        <v>65</v>
      </c>
      <c r="M44" s="38">
        <v>2</v>
      </c>
      <c r="N44" s="39" t="b">
        <v>0</v>
      </c>
    </row>
    <row r="45" spans="2:14" ht="15.75" customHeight="1" x14ac:dyDescent="0.25">
      <c r="B45" s="36">
        <v>92</v>
      </c>
      <c r="C45" s="37" t="s">
        <v>251</v>
      </c>
      <c r="D45" s="37" t="s">
        <v>252</v>
      </c>
      <c r="E45" s="37" t="s">
        <v>147</v>
      </c>
      <c r="F45" s="38">
        <v>310</v>
      </c>
      <c r="G45" s="38">
        <v>30</v>
      </c>
      <c r="H45" s="38">
        <v>35</v>
      </c>
      <c r="I45" s="38">
        <v>30</v>
      </c>
      <c r="J45" s="38">
        <v>100</v>
      </c>
      <c r="K45" s="38">
        <v>35</v>
      </c>
      <c r="L45" s="38">
        <v>80</v>
      </c>
      <c r="M45" s="38">
        <v>1</v>
      </c>
      <c r="N45" s="39" t="b">
        <v>0</v>
      </c>
    </row>
    <row r="46" spans="2:14" ht="15.75" customHeight="1" x14ac:dyDescent="0.25">
      <c r="B46" s="36">
        <v>94</v>
      </c>
      <c r="C46" s="37" t="s">
        <v>254</v>
      </c>
      <c r="D46" s="37" t="s">
        <v>252</v>
      </c>
      <c r="E46" s="37" t="s">
        <v>147</v>
      </c>
      <c r="F46" s="38">
        <v>500</v>
      </c>
      <c r="G46" s="38">
        <v>60</v>
      </c>
      <c r="H46" s="38">
        <v>65</v>
      </c>
      <c r="I46" s="38">
        <v>60</v>
      </c>
      <c r="J46" s="38">
        <v>130</v>
      </c>
      <c r="K46" s="38">
        <v>75</v>
      </c>
      <c r="L46" s="38">
        <v>110</v>
      </c>
      <c r="M46" s="38">
        <v>3</v>
      </c>
      <c r="N46" s="39" t="b">
        <v>0</v>
      </c>
    </row>
    <row r="47" spans="2:14" ht="15.75" customHeight="1" x14ac:dyDescent="0.25">
      <c r="B47" s="36">
        <v>74</v>
      </c>
      <c r="C47" s="37" t="s">
        <v>230</v>
      </c>
      <c r="D47" s="37" t="s">
        <v>231</v>
      </c>
      <c r="E47" s="37" t="s">
        <v>180</v>
      </c>
      <c r="F47" s="38">
        <v>300</v>
      </c>
      <c r="G47" s="38">
        <v>40</v>
      </c>
      <c r="H47" s="38">
        <v>80</v>
      </c>
      <c r="I47" s="38">
        <v>100</v>
      </c>
      <c r="J47" s="38">
        <v>30</v>
      </c>
      <c r="K47" s="38">
        <v>30</v>
      </c>
      <c r="L47" s="38">
        <v>20</v>
      </c>
      <c r="M47" s="38">
        <v>1</v>
      </c>
      <c r="N47" s="39" t="b">
        <v>0</v>
      </c>
    </row>
    <row r="48" spans="2:14" ht="15.75" customHeight="1" x14ac:dyDescent="0.25">
      <c r="B48" s="36">
        <v>44</v>
      </c>
      <c r="C48" s="37" t="s">
        <v>198</v>
      </c>
      <c r="D48" s="37" t="s">
        <v>146</v>
      </c>
      <c r="E48" s="37" t="s">
        <v>147</v>
      </c>
      <c r="F48" s="38">
        <v>395</v>
      </c>
      <c r="G48" s="38">
        <v>60</v>
      </c>
      <c r="H48" s="38">
        <v>65</v>
      </c>
      <c r="I48" s="38">
        <v>70</v>
      </c>
      <c r="J48" s="38">
        <v>85</v>
      </c>
      <c r="K48" s="38">
        <v>75</v>
      </c>
      <c r="L48" s="38">
        <v>40</v>
      </c>
      <c r="M48" s="38">
        <v>2</v>
      </c>
      <c r="N48" s="39" t="b">
        <v>0</v>
      </c>
    </row>
    <row r="49" spans="2:14" ht="15.75" customHeight="1" x14ac:dyDescent="0.25">
      <c r="B49" s="36">
        <v>42</v>
      </c>
      <c r="C49" s="37" t="s">
        <v>196</v>
      </c>
      <c r="D49" s="37" t="s">
        <v>147</v>
      </c>
      <c r="E49" s="37" t="s">
        <v>154</v>
      </c>
      <c r="F49" s="38">
        <v>455</v>
      </c>
      <c r="G49" s="38">
        <v>75</v>
      </c>
      <c r="H49" s="38">
        <v>80</v>
      </c>
      <c r="I49" s="38">
        <v>70</v>
      </c>
      <c r="J49" s="38">
        <v>65</v>
      </c>
      <c r="K49" s="38">
        <v>75</v>
      </c>
      <c r="L49" s="38">
        <v>90</v>
      </c>
      <c r="M49" s="38">
        <v>2</v>
      </c>
      <c r="N49" s="39" t="b">
        <v>0</v>
      </c>
    </row>
    <row r="50" spans="2:14" ht="15.75" customHeight="1" x14ac:dyDescent="0.25">
      <c r="B50" s="36">
        <v>118</v>
      </c>
      <c r="C50" s="37" t="s">
        <v>278</v>
      </c>
      <c r="D50" s="37" t="s">
        <v>156</v>
      </c>
      <c r="E50" s="1"/>
      <c r="F50" s="38">
        <v>320</v>
      </c>
      <c r="G50" s="38">
        <v>45</v>
      </c>
      <c r="H50" s="38">
        <v>67</v>
      </c>
      <c r="I50" s="38">
        <v>60</v>
      </c>
      <c r="J50" s="38">
        <v>35</v>
      </c>
      <c r="K50" s="38">
        <v>50</v>
      </c>
      <c r="L50" s="38">
        <v>63</v>
      </c>
      <c r="M50" s="38">
        <v>1</v>
      </c>
      <c r="N50" s="39" t="b">
        <v>0</v>
      </c>
    </row>
    <row r="51" spans="2:14" ht="15.75" customHeight="1" x14ac:dyDescent="0.25">
      <c r="B51" s="36">
        <v>55</v>
      </c>
      <c r="C51" s="37" t="s">
        <v>209</v>
      </c>
      <c r="D51" s="37" t="s">
        <v>156</v>
      </c>
      <c r="E51" s="1"/>
      <c r="F51" s="38">
        <v>500</v>
      </c>
      <c r="G51" s="38">
        <v>80</v>
      </c>
      <c r="H51" s="38">
        <v>82</v>
      </c>
      <c r="I51" s="38">
        <v>78</v>
      </c>
      <c r="J51" s="38">
        <v>95</v>
      </c>
      <c r="K51" s="38">
        <v>80</v>
      </c>
      <c r="L51" s="38">
        <v>85</v>
      </c>
      <c r="M51" s="38">
        <v>2</v>
      </c>
      <c r="N51" s="39" t="b">
        <v>0</v>
      </c>
    </row>
    <row r="52" spans="2:14" ht="15.75" customHeight="1" x14ac:dyDescent="0.25">
      <c r="B52" s="36">
        <v>76</v>
      </c>
      <c r="C52" s="37" t="s">
        <v>233</v>
      </c>
      <c r="D52" s="37" t="s">
        <v>231</v>
      </c>
      <c r="E52" s="37" t="s">
        <v>180</v>
      </c>
      <c r="F52" s="38">
        <v>495</v>
      </c>
      <c r="G52" s="38">
        <v>80</v>
      </c>
      <c r="H52" s="38">
        <v>120</v>
      </c>
      <c r="I52" s="38">
        <v>130</v>
      </c>
      <c r="J52" s="38">
        <v>55</v>
      </c>
      <c r="K52" s="38">
        <v>65</v>
      </c>
      <c r="L52" s="38">
        <v>45</v>
      </c>
      <c r="M52" s="38">
        <v>3</v>
      </c>
      <c r="N52" s="39" t="b">
        <v>0</v>
      </c>
    </row>
    <row r="53" spans="2:14" ht="15.75" customHeight="1" x14ac:dyDescent="0.25">
      <c r="B53" s="36">
        <v>75</v>
      </c>
      <c r="C53" s="37" t="s">
        <v>232</v>
      </c>
      <c r="D53" s="37" t="s">
        <v>231</v>
      </c>
      <c r="E53" s="37" t="s">
        <v>180</v>
      </c>
      <c r="F53" s="38">
        <v>390</v>
      </c>
      <c r="G53" s="38">
        <v>55</v>
      </c>
      <c r="H53" s="38">
        <v>95</v>
      </c>
      <c r="I53" s="38">
        <v>115</v>
      </c>
      <c r="J53" s="38">
        <v>45</v>
      </c>
      <c r="K53" s="38">
        <v>45</v>
      </c>
      <c r="L53" s="38">
        <v>35</v>
      </c>
      <c r="M53" s="38">
        <v>2</v>
      </c>
      <c r="N53" s="39" t="b">
        <v>0</v>
      </c>
    </row>
    <row r="54" spans="2:14" ht="15.75" customHeight="1" x14ac:dyDescent="0.25">
      <c r="B54" s="36">
        <v>88</v>
      </c>
      <c r="C54" s="37" t="s">
        <v>247</v>
      </c>
      <c r="D54" s="37" t="s">
        <v>147</v>
      </c>
      <c r="E54" s="1"/>
      <c r="F54" s="38">
        <v>325</v>
      </c>
      <c r="G54" s="38">
        <v>80</v>
      </c>
      <c r="H54" s="38">
        <v>80</v>
      </c>
      <c r="I54" s="38">
        <v>50</v>
      </c>
      <c r="J54" s="38">
        <v>40</v>
      </c>
      <c r="K54" s="38">
        <v>50</v>
      </c>
      <c r="L54" s="38">
        <v>25</v>
      </c>
      <c r="M54" s="38">
        <v>1</v>
      </c>
      <c r="N54" s="39" t="b">
        <v>0</v>
      </c>
    </row>
    <row r="55" spans="2:14" ht="15.75" customHeight="1" x14ac:dyDescent="0.25">
      <c r="B55" s="36">
        <v>58</v>
      </c>
      <c r="C55" s="37" t="s">
        <v>213</v>
      </c>
      <c r="D55" s="37" t="s">
        <v>151</v>
      </c>
      <c r="E55" s="1"/>
      <c r="F55" s="38">
        <v>350</v>
      </c>
      <c r="G55" s="38">
        <v>55</v>
      </c>
      <c r="H55" s="38">
        <v>70</v>
      </c>
      <c r="I55" s="38">
        <v>45</v>
      </c>
      <c r="J55" s="38">
        <v>70</v>
      </c>
      <c r="K55" s="38">
        <v>50</v>
      </c>
      <c r="L55" s="38">
        <v>60</v>
      </c>
      <c r="M55" s="38">
        <v>1</v>
      </c>
      <c r="N55" s="39" t="b">
        <v>0</v>
      </c>
    </row>
    <row r="56" spans="2:14" ht="15.75" customHeight="1" x14ac:dyDescent="0.25">
      <c r="B56" s="36">
        <v>130</v>
      </c>
      <c r="C56" s="37" t="s">
        <v>290</v>
      </c>
      <c r="D56" s="37" t="s">
        <v>156</v>
      </c>
      <c r="E56" s="37" t="s">
        <v>154</v>
      </c>
      <c r="F56" s="38">
        <v>540</v>
      </c>
      <c r="G56" s="38">
        <v>95</v>
      </c>
      <c r="H56" s="38">
        <v>125</v>
      </c>
      <c r="I56" s="38">
        <v>79</v>
      </c>
      <c r="J56" s="38">
        <v>60</v>
      </c>
      <c r="K56" s="38">
        <v>100</v>
      </c>
      <c r="L56" s="38">
        <v>81</v>
      </c>
      <c r="M56" s="38">
        <v>2</v>
      </c>
      <c r="N56" s="39" t="b">
        <v>0</v>
      </c>
    </row>
    <row r="57" spans="2:14" ht="15.75" customHeight="1" x14ac:dyDescent="0.25">
      <c r="B57" s="36">
        <v>93</v>
      </c>
      <c r="C57" s="37" t="s">
        <v>253</v>
      </c>
      <c r="D57" s="37" t="s">
        <v>252</v>
      </c>
      <c r="E57" s="37" t="s">
        <v>147</v>
      </c>
      <c r="F57" s="38">
        <v>405</v>
      </c>
      <c r="G57" s="38">
        <v>45</v>
      </c>
      <c r="H57" s="38">
        <v>50</v>
      </c>
      <c r="I57" s="38">
        <v>45</v>
      </c>
      <c r="J57" s="38">
        <v>115</v>
      </c>
      <c r="K57" s="38">
        <v>55</v>
      </c>
      <c r="L57" s="38">
        <v>95</v>
      </c>
      <c r="M57" s="38">
        <v>2</v>
      </c>
      <c r="N57" s="39" t="b">
        <v>0</v>
      </c>
    </row>
    <row r="58" spans="2:14" ht="15.75" customHeight="1" x14ac:dyDescent="0.25">
      <c r="B58" s="36">
        <v>107</v>
      </c>
      <c r="C58" s="37" t="s">
        <v>267</v>
      </c>
      <c r="D58" s="37" t="s">
        <v>211</v>
      </c>
      <c r="E58" s="1"/>
      <c r="F58" s="38">
        <v>455</v>
      </c>
      <c r="G58" s="38">
        <v>50</v>
      </c>
      <c r="H58" s="38">
        <v>105</v>
      </c>
      <c r="I58" s="38">
        <v>79</v>
      </c>
      <c r="J58" s="38">
        <v>35</v>
      </c>
      <c r="K58" s="38">
        <v>110</v>
      </c>
      <c r="L58" s="38">
        <v>76</v>
      </c>
      <c r="M58" s="38">
        <v>1</v>
      </c>
      <c r="N58" s="39" t="b">
        <v>0</v>
      </c>
    </row>
    <row r="59" spans="2:14" ht="15.75" customHeight="1" x14ac:dyDescent="0.25">
      <c r="B59" s="36">
        <v>106</v>
      </c>
      <c r="C59" s="37" t="s">
        <v>266</v>
      </c>
      <c r="D59" s="37" t="s">
        <v>211</v>
      </c>
      <c r="E59" s="1"/>
      <c r="F59" s="38">
        <v>455</v>
      </c>
      <c r="G59" s="38">
        <v>50</v>
      </c>
      <c r="H59" s="38">
        <v>120</v>
      </c>
      <c r="I59" s="38">
        <v>53</v>
      </c>
      <c r="J59" s="38">
        <v>35</v>
      </c>
      <c r="K59" s="38">
        <v>110</v>
      </c>
      <c r="L59" s="38">
        <v>87</v>
      </c>
      <c r="M59" s="38">
        <v>1</v>
      </c>
      <c r="N59" s="39" t="b">
        <v>0</v>
      </c>
    </row>
    <row r="60" spans="2:14" ht="15.75" customHeight="1" x14ac:dyDescent="0.25">
      <c r="B60" s="36">
        <v>116</v>
      </c>
      <c r="C60" s="37" t="s">
        <v>276</v>
      </c>
      <c r="D60" s="37" t="s">
        <v>156</v>
      </c>
      <c r="E60" s="1"/>
      <c r="F60" s="38">
        <v>295</v>
      </c>
      <c r="G60" s="38">
        <v>30</v>
      </c>
      <c r="H60" s="38">
        <v>40</v>
      </c>
      <c r="I60" s="38">
        <v>70</v>
      </c>
      <c r="J60" s="38">
        <v>70</v>
      </c>
      <c r="K60" s="38">
        <v>25</v>
      </c>
      <c r="L60" s="38">
        <v>60</v>
      </c>
      <c r="M60" s="38">
        <v>1</v>
      </c>
      <c r="N60" s="39" t="b">
        <v>0</v>
      </c>
    </row>
    <row r="61" spans="2:14" ht="15.75" customHeight="1" x14ac:dyDescent="0.25">
      <c r="B61" s="36">
        <v>97</v>
      </c>
      <c r="C61" s="37" t="s">
        <v>257</v>
      </c>
      <c r="D61" s="37" t="s">
        <v>219</v>
      </c>
      <c r="E61" s="1"/>
      <c r="F61" s="38">
        <v>483</v>
      </c>
      <c r="G61" s="38">
        <v>85</v>
      </c>
      <c r="H61" s="38">
        <v>73</v>
      </c>
      <c r="I61" s="38">
        <v>70</v>
      </c>
      <c r="J61" s="38">
        <v>73</v>
      </c>
      <c r="K61" s="38">
        <v>115</v>
      </c>
      <c r="L61" s="38">
        <v>67</v>
      </c>
      <c r="M61" s="38">
        <v>2</v>
      </c>
      <c r="N61" s="39" t="b">
        <v>0</v>
      </c>
    </row>
    <row r="62" spans="2:14" ht="15.75" customHeight="1" x14ac:dyDescent="0.25">
      <c r="B62" s="36">
        <v>2</v>
      </c>
      <c r="C62" s="37" t="s">
        <v>148</v>
      </c>
      <c r="D62" s="37" t="s">
        <v>146</v>
      </c>
      <c r="E62" s="37" t="s">
        <v>147</v>
      </c>
      <c r="F62" s="38">
        <v>405</v>
      </c>
      <c r="G62" s="38">
        <v>60</v>
      </c>
      <c r="H62" s="38">
        <v>62</v>
      </c>
      <c r="I62" s="38">
        <v>63</v>
      </c>
      <c r="J62" s="38">
        <v>80</v>
      </c>
      <c r="K62" s="38">
        <v>80</v>
      </c>
      <c r="L62" s="38">
        <v>60</v>
      </c>
      <c r="M62" s="38">
        <v>2</v>
      </c>
      <c r="N62" s="39" t="b">
        <v>0</v>
      </c>
    </row>
    <row r="63" spans="2:14" ht="15.75" customHeight="1" x14ac:dyDescent="0.25">
      <c r="B63" s="36">
        <v>39</v>
      </c>
      <c r="C63" s="37" t="s">
        <v>193</v>
      </c>
      <c r="D63" s="37" t="s">
        <v>167</v>
      </c>
      <c r="E63" s="37" t="s">
        <v>189</v>
      </c>
      <c r="F63" s="38">
        <v>270</v>
      </c>
      <c r="G63" s="38">
        <v>115</v>
      </c>
      <c r="H63" s="38">
        <v>45</v>
      </c>
      <c r="I63" s="38">
        <v>20</v>
      </c>
      <c r="J63" s="38">
        <v>45</v>
      </c>
      <c r="K63" s="38">
        <v>25</v>
      </c>
      <c r="L63" s="38">
        <v>20</v>
      </c>
      <c r="M63" s="38">
        <v>1</v>
      </c>
      <c r="N63" s="39" t="b">
        <v>0</v>
      </c>
    </row>
    <row r="64" spans="2:14" ht="15.75" customHeight="1" x14ac:dyDescent="0.25">
      <c r="B64" s="36">
        <v>135</v>
      </c>
      <c r="C64" s="37" t="s">
        <v>295</v>
      </c>
      <c r="D64" s="37" t="s">
        <v>177</v>
      </c>
      <c r="E64" s="1"/>
      <c r="F64" s="38">
        <v>525</v>
      </c>
      <c r="G64" s="38">
        <v>65</v>
      </c>
      <c r="H64" s="38">
        <v>65</v>
      </c>
      <c r="I64" s="38">
        <v>60</v>
      </c>
      <c r="J64" s="38">
        <v>110</v>
      </c>
      <c r="K64" s="38">
        <v>95</v>
      </c>
      <c r="L64" s="38">
        <v>130</v>
      </c>
      <c r="M64" s="38">
        <v>2</v>
      </c>
      <c r="N64" s="39" t="b">
        <v>0</v>
      </c>
    </row>
    <row r="65" spans="2:14" ht="15.75" customHeight="1" x14ac:dyDescent="0.25">
      <c r="B65" s="36">
        <v>124</v>
      </c>
      <c r="C65" s="37" t="s">
        <v>284</v>
      </c>
      <c r="D65" s="37" t="s">
        <v>246</v>
      </c>
      <c r="E65" s="37" t="s">
        <v>219</v>
      </c>
      <c r="F65" s="38">
        <v>455</v>
      </c>
      <c r="G65" s="38">
        <v>65</v>
      </c>
      <c r="H65" s="38">
        <v>50</v>
      </c>
      <c r="I65" s="38">
        <v>35</v>
      </c>
      <c r="J65" s="38">
        <v>115</v>
      </c>
      <c r="K65" s="38">
        <v>95</v>
      </c>
      <c r="L65" s="38">
        <v>95</v>
      </c>
      <c r="M65" s="38">
        <v>1</v>
      </c>
      <c r="N65" s="39" t="b">
        <v>0</v>
      </c>
    </row>
    <row r="66" spans="2:14" ht="15.75" customHeight="1" x14ac:dyDescent="0.25">
      <c r="B66" s="36">
        <v>140</v>
      </c>
      <c r="C66" s="37" t="s">
        <v>300</v>
      </c>
      <c r="D66" s="37" t="s">
        <v>231</v>
      </c>
      <c r="E66" s="37" t="s">
        <v>156</v>
      </c>
      <c r="F66" s="38">
        <v>355</v>
      </c>
      <c r="G66" s="38">
        <v>30</v>
      </c>
      <c r="H66" s="38">
        <v>80</v>
      </c>
      <c r="I66" s="38">
        <v>90</v>
      </c>
      <c r="J66" s="38">
        <v>55</v>
      </c>
      <c r="K66" s="38">
        <v>45</v>
      </c>
      <c r="L66" s="38">
        <v>55</v>
      </c>
      <c r="M66" s="38">
        <v>1</v>
      </c>
      <c r="N66" s="39" t="b">
        <v>0</v>
      </c>
    </row>
    <row r="67" spans="2:14" ht="15.75" customHeight="1" x14ac:dyDescent="0.25">
      <c r="B67" s="36">
        <v>141</v>
      </c>
      <c r="C67" s="37" t="s">
        <v>301</v>
      </c>
      <c r="D67" s="37" t="s">
        <v>231</v>
      </c>
      <c r="E67" s="37" t="s">
        <v>156</v>
      </c>
      <c r="F67" s="38">
        <v>495</v>
      </c>
      <c r="G67" s="38">
        <v>60</v>
      </c>
      <c r="H67" s="38">
        <v>115</v>
      </c>
      <c r="I67" s="38">
        <v>105</v>
      </c>
      <c r="J67" s="38">
        <v>65</v>
      </c>
      <c r="K67" s="38">
        <v>70</v>
      </c>
      <c r="L67" s="38">
        <v>80</v>
      </c>
      <c r="M67" s="38">
        <v>2</v>
      </c>
      <c r="N67" s="39" t="b">
        <v>0</v>
      </c>
    </row>
    <row r="68" spans="2:14" ht="15.75" customHeight="1" x14ac:dyDescent="0.25">
      <c r="B68" s="36">
        <v>64</v>
      </c>
      <c r="C68" s="37" t="s">
        <v>220</v>
      </c>
      <c r="D68" s="37" t="s">
        <v>219</v>
      </c>
      <c r="E68" s="1"/>
      <c r="F68" s="38">
        <v>400</v>
      </c>
      <c r="G68" s="38">
        <v>40</v>
      </c>
      <c r="H68" s="38">
        <v>35</v>
      </c>
      <c r="I68" s="38">
        <v>30</v>
      </c>
      <c r="J68" s="38">
        <v>120</v>
      </c>
      <c r="K68" s="38">
        <v>70</v>
      </c>
      <c r="L68" s="38">
        <v>105</v>
      </c>
      <c r="M68" s="38">
        <v>2</v>
      </c>
      <c r="N68" s="39" t="b">
        <v>0</v>
      </c>
    </row>
    <row r="69" spans="2:14" ht="15.75" customHeight="1" x14ac:dyDescent="0.25">
      <c r="B69" s="36">
        <v>14</v>
      </c>
      <c r="C69" s="37" t="s">
        <v>164</v>
      </c>
      <c r="D69" s="37" t="s">
        <v>160</v>
      </c>
      <c r="E69" s="37" t="s">
        <v>147</v>
      </c>
      <c r="F69" s="38">
        <v>205</v>
      </c>
      <c r="G69" s="38">
        <v>45</v>
      </c>
      <c r="H69" s="38">
        <v>25</v>
      </c>
      <c r="I69" s="38">
        <v>50</v>
      </c>
      <c r="J69" s="38">
        <v>25</v>
      </c>
      <c r="K69" s="38">
        <v>25</v>
      </c>
      <c r="L69" s="38">
        <v>35</v>
      </c>
      <c r="M69" s="38">
        <v>2</v>
      </c>
      <c r="N69" s="39" t="b">
        <v>0</v>
      </c>
    </row>
    <row r="70" spans="2:14" ht="15.75" customHeight="1" x14ac:dyDescent="0.25">
      <c r="B70" s="36">
        <v>115</v>
      </c>
      <c r="C70" s="37" t="s">
        <v>275</v>
      </c>
      <c r="D70" s="37" t="s">
        <v>167</v>
      </c>
      <c r="E70" s="1"/>
      <c r="F70" s="38">
        <v>490</v>
      </c>
      <c r="G70" s="38">
        <v>105</v>
      </c>
      <c r="H70" s="38">
        <v>95</v>
      </c>
      <c r="I70" s="38">
        <v>80</v>
      </c>
      <c r="J70" s="38">
        <v>40</v>
      </c>
      <c r="K70" s="38">
        <v>80</v>
      </c>
      <c r="L70" s="38">
        <v>90</v>
      </c>
      <c r="M70" s="38">
        <v>1</v>
      </c>
      <c r="N70" s="39" t="b">
        <v>0</v>
      </c>
    </row>
    <row r="71" spans="2:14" ht="15.75" customHeight="1" x14ac:dyDescent="0.25">
      <c r="B71" s="36">
        <v>99</v>
      </c>
      <c r="C71" s="37" t="s">
        <v>259</v>
      </c>
      <c r="D71" s="37" t="s">
        <v>156</v>
      </c>
      <c r="E71" s="1"/>
      <c r="F71" s="38">
        <v>475</v>
      </c>
      <c r="G71" s="38">
        <v>55</v>
      </c>
      <c r="H71" s="38">
        <v>130</v>
      </c>
      <c r="I71" s="38">
        <v>115</v>
      </c>
      <c r="J71" s="38">
        <v>50</v>
      </c>
      <c r="K71" s="38">
        <v>50</v>
      </c>
      <c r="L71" s="38">
        <v>75</v>
      </c>
      <c r="M71" s="38">
        <v>2</v>
      </c>
      <c r="N71" s="39" t="b">
        <v>0</v>
      </c>
    </row>
    <row r="72" spans="2:14" ht="15.75" customHeight="1" x14ac:dyDescent="0.25">
      <c r="B72" s="36">
        <v>109</v>
      </c>
      <c r="C72" s="37" t="s">
        <v>269</v>
      </c>
      <c r="D72" s="37" t="s">
        <v>147</v>
      </c>
      <c r="E72" s="1"/>
      <c r="F72" s="38">
        <v>340</v>
      </c>
      <c r="G72" s="38">
        <v>40</v>
      </c>
      <c r="H72" s="38">
        <v>65</v>
      </c>
      <c r="I72" s="38">
        <v>95</v>
      </c>
      <c r="J72" s="38">
        <v>60</v>
      </c>
      <c r="K72" s="38">
        <v>45</v>
      </c>
      <c r="L72" s="38">
        <v>35</v>
      </c>
      <c r="M72" s="38">
        <v>1</v>
      </c>
      <c r="N72" s="39" t="b">
        <v>0</v>
      </c>
    </row>
    <row r="73" spans="2:14" ht="15.75" customHeight="1" x14ac:dyDescent="0.25">
      <c r="B73" s="36">
        <v>98</v>
      </c>
      <c r="C73" s="37" t="s">
        <v>258</v>
      </c>
      <c r="D73" s="37" t="s">
        <v>156</v>
      </c>
      <c r="E73" s="1"/>
      <c r="F73" s="38">
        <v>325</v>
      </c>
      <c r="G73" s="38">
        <v>30</v>
      </c>
      <c r="H73" s="38">
        <v>105</v>
      </c>
      <c r="I73" s="38">
        <v>90</v>
      </c>
      <c r="J73" s="38">
        <v>25</v>
      </c>
      <c r="K73" s="38">
        <v>25</v>
      </c>
      <c r="L73" s="38">
        <v>50</v>
      </c>
      <c r="M73" s="38">
        <v>1</v>
      </c>
      <c r="N73" s="39" t="b">
        <v>0</v>
      </c>
    </row>
    <row r="74" spans="2:14" ht="15.75" customHeight="1" x14ac:dyDescent="0.25">
      <c r="B74" s="36">
        <v>131</v>
      </c>
      <c r="C74" s="37" t="s">
        <v>291</v>
      </c>
      <c r="D74" s="37" t="s">
        <v>156</v>
      </c>
      <c r="E74" s="37" t="s">
        <v>246</v>
      </c>
      <c r="F74" s="38">
        <v>535</v>
      </c>
      <c r="G74" s="38">
        <v>130</v>
      </c>
      <c r="H74" s="38">
        <v>85</v>
      </c>
      <c r="I74" s="38">
        <v>80</v>
      </c>
      <c r="J74" s="38">
        <v>85</v>
      </c>
      <c r="K74" s="38">
        <v>95</v>
      </c>
      <c r="L74" s="38">
        <v>60</v>
      </c>
      <c r="M74" s="38">
        <v>1</v>
      </c>
      <c r="N74" s="39" t="b">
        <v>0</v>
      </c>
    </row>
    <row r="75" spans="2:14" ht="15.75" customHeight="1" x14ac:dyDescent="0.25">
      <c r="B75" s="36">
        <v>108</v>
      </c>
      <c r="C75" s="37" t="s">
        <v>268</v>
      </c>
      <c r="D75" s="37" t="s">
        <v>167</v>
      </c>
      <c r="E75" s="1"/>
      <c r="F75" s="38">
        <v>385</v>
      </c>
      <c r="G75" s="38">
        <v>90</v>
      </c>
      <c r="H75" s="38">
        <v>55</v>
      </c>
      <c r="I75" s="38">
        <v>75</v>
      </c>
      <c r="J75" s="38">
        <v>60</v>
      </c>
      <c r="K75" s="38">
        <v>75</v>
      </c>
      <c r="L75" s="38">
        <v>30</v>
      </c>
      <c r="M75" s="38">
        <v>1</v>
      </c>
      <c r="N75" s="39" t="b">
        <v>0</v>
      </c>
    </row>
    <row r="76" spans="2:14" ht="15.75" customHeight="1" x14ac:dyDescent="0.25">
      <c r="B76" s="36">
        <v>68</v>
      </c>
      <c r="C76" s="37" t="s">
        <v>224</v>
      </c>
      <c r="D76" s="37" t="s">
        <v>211</v>
      </c>
      <c r="E76" s="1"/>
      <c r="F76" s="38">
        <v>505</v>
      </c>
      <c r="G76" s="38">
        <v>90</v>
      </c>
      <c r="H76" s="38">
        <v>130</v>
      </c>
      <c r="I76" s="38">
        <v>80</v>
      </c>
      <c r="J76" s="38">
        <v>65</v>
      </c>
      <c r="K76" s="38">
        <v>85</v>
      </c>
      <c r="L76" s="38">
        <v>55</v>
      </c>
      <c r="M76" s="38">
        <v>3</v>
      </c>
      <c r="N76" s="39" t="b">
        <v>0</v>
      </c>
    </row>
    <row r="77" spans="2:14" ht="15.75" customHeight="1" x14ac:dyDescent="0.25">
      <c r="B77" s="36">
        <v>67</v>
      </c>
      <c r="C77" s="37" t="s">
        <v>223</v>
      </c>
      <c r="D77" s="37" t="s">
        <v>211</v>
      </c>
      <c r="E77" s="1"/>
      <c r="F77" s="38">
        <v>405</v>
      </c>
      <c r="G77" s="38">
        <v>80</v>
      </c>
      <c r="H77" s="38">
        <v>100</v>
      </c>
      <c r="I77" s="38">
        <v>70</v>
      </c>
      <c r="J77" s="38">
        <v>50</v>
      </c>
      <c r="K77" s="38">
        <v>60</v>
      </c>
      <c r="L77" s="38">
        <v>45</v>
      </c>
      <c r="M77" s="38">
        <v>2</v>
      </c>
      <c r="N77" s="39" t="b">
        <v>0</v>
      </c>
    </row>
    <row r="78" spans="2:14" ht="15.75" customHeight="1" x14ac:dyDescent="0.25">
      <c r="B78" s="36">
        <v>66</v>
      </c>
      <c r="C78" s="37" t="s">
        <v>222</v>
      </c>
      <c r="D78" s="37" t="s">
        <v>211</v>
      </c>
      <c r="E78" s="1"/>
      <c r="F78" s="38">
        <v>305</v>
      </c>
      <c r="G78" s="38">
        <v>70</v>
      </c>
      <c r="H78" s="38">
        <v>80</v>
      </c>
      <c r="I78" s="38">
        <v>50</v>
      </c>
      <c r="J78" s="38">
        <v>35</v>
      </c>
      <c r="K78" s="38">
        <v>35</v>
      </c>
      <c r="L78" s="38">
        <v>35</v>
      </c>
      <c r="M78" s="38">
        <v>1</v>
      </c>
      <c r="N78" s="39" t="b">
        <v>0</v>
      </c>
    </row>
    <row r="79" spans="2:14" ht="15.75" customHeight="1" x14ac:dyDescent="0.25">
      <c r="B79" s="36">
        <v>129</v>
      </c>
      <c r="C79" s="37" t="s">
        <v>289</v>
      </c>
      <c r="D79" s="37" t="s">
        <v>156</v>
      </c>
      <c r="E79" s="1"/>
      <c r="F79" s="38">
        <v>200</v>
      </c>
      <c r="G79" s="38">
        <v>20</v>
      </c>
      <c r="H79" s="38">
        <v>10</v>
      </c>
      <c r="I79" s="38">
        <v>55</v>
      </c>
      <c r="J79" s="38">
        <v>15</v>
      </c>
      <c r="K79" s="38">
        <v>20</v>
      </c>
      <c r="L79" s="38">
        <v>80</v>
      </c>
      <c r="M79" s="38">
        <v>1</v>
      </c>
      <c r="N79" s="39" t="b">
        <v>0</v>
      </c>
    </row>
    <row r="80" spans="2:14" ht="15.75" customHeight="1" x14ac:dyDescent="0.25">
      <c r="B80" s="36">
        <v>126</v>
      </c>
      <c r="C80" s="37" t="s">
        <v>286</v>
      </c>
      <c r="D80" s="37" t="s">
        <v>151</v>
      </c>
      <c r="E80" s="1"/>
      <c r="F80" s="38">
        <v>495</v>
      </c>
      <c r="G80" s="38">
        <v>65</v>
      </c>
      <c r="H80" s="38">
        <v>95</v>
      </c>
      <c r="I80" s="38">
        <v>57</v>
      </c>
      <c r="J80" s="38">
        <v>100</v>
      </c>
      <c r="K80" s="38">
        <v>85</v>
      </c>
      <c r="L80" s="38">
        <v>93</v>
      </c>
      <c r="M80" s="38">
        <v>1</v>
      </c>
      <c r="N80" s="39" t="b">
        <v>0</v>
      </c>
    </row>
    <row r="81" spans="2:14" ht="15.75" customHeight="1" x14ac:dyDescent="0.25">
      <c r="B81" s="36">
        <v>81</v>
      </c>
      <c r="C81" s="37" t="s">
        <v>238</v>
      </c>
      <c r="D81" s="37" t="s">
        <v>177</v>
      </c>
      <c r="E81" s="37" t="s">
        <v>239</v>
      </c>
      <c r="F81" s="38">
        <v>325</v>
      </c>
      <c r="G81" s="38">
        <v>25</v>
      </c>
      <c r="H81" s="38">
        <v>35</v>
      </c>
      <c r="I81" s="38">
        <v>70</v>
      </c>
      <c r="J81" s="38">
        <v>95</v>
      </c>
      <c r="K81" s="38">
        <v>55</v>
      </c>
      <c r="L81" s="38">
        <v>45</v>
      </c>
      <c r="M81" s="38">
        <v>1</v>
      </c>
      <c r="N81" s="39" t="b">
        <v>0</v>
      </c>
    </row>
    <row r="82" spans="2:14" ht="15.75" customHeight="1" x14ac:dyDescent="0.25">
      <c r="B82" s="36">
        <v>82</v>
      </c>
      <c r="C82" s="37" t="s">
        <v>240</v>
      </c>
      <c r="D82" s="37" t="s">
        <v>177</v>
      </c>
      <c r="E82" s="37" t="s">
        <v>239</v>
      </c>
      <c r="F82" s="38">
        <v>465</v>
      </c>
      <c r="G82" s="38">
        <v>50</v>
      </c>
      <c r="H82" s="38">
        <v>60</v>
      </c>
      <c r="I82" s="38">
        <v>95</v>
      </c>
      <c r="J82" s="38">
        <v>120</v>
      </c>
      <c r="K82" s="38">
        <v>70</v>
      </c>
      <c r="L82" s="38">
        <v>70</v>
      </c>
      <c r="M82" s="38">
        <v>2</v>
      </c>
      <c r="N82" s="39" t="b">
        <v>0</v>
      </c>
    </row>
    <row r="83" spans="2:14" ht="15.75" customHeight="1" x14ac:dyDescent="0.25">
      <c r="B83" s="36">
        <v>56</v>
      </c>
      <c r="C83" s="37" t="s">
        <v>210</v>
      </c>
      <c r="D83" s="37" t="s">
        <v>211</v>
      </c>
      <c r="E83" s="1"/>
      <c r="F83" s="38">
        <v>305</v>
      </c>
      <c r="G83" s="38">
        <v>40</v>
      </c>
      <c r="H83" s="38">
        <v>80</v>
      </c>
      <c r="I83" s="38">
        <v>35</v>
      </c>
      <c r="J83" s="38">
        <v>35</v>
      </c>
      <c r="K83" s="38">
        <v>45</v>
      </c>
      <c r="L83" s="38">
        <v>70</v>
      </c>
      <c r="M83" s="38">
        <v>1</v>
      </c>
      <c r="N83" s="39" t="b">
        <v>0</v>
      </c>
    </row>
    <row r="84" spans="2:14" ht="15.75" customHeight="1" x14ac:dyDescent="0.25">
      <c r="B84" s="36">
        <v>105</v>
      </c>
      <c r="C84" s="37" t="s">
        <v>265</v>
      </c>
      <c r="D84" s="37" t="s">
        <v>180</v>
      </c>
      <c r="E84" s="1"/>
      <c r="F84" s="38">
        <v>425</v>
      </c>
      <c r="G84" s="38">
        <v>60</v>
      </c>
      <c r="H84" s="38">
        <v>80</v>
      </c>
      <c r="I84" s="38">
        <v>110</v>
      </c>
      <c r="J84" s="38">
        <v>50</v>
      </c>
      <c r="K84" s="38">
        <v>80</v>
      </c>
      <c r="L84" s="38">
        <v>45</v>
      </c>
      <c r="M84" s="38">
        <v>2</v>
      </c>
      <c r="N84" s="39" t="b">
        <v>0</v>
      </c>
    </row>
    <row r="85" spans="2:14" ht="15.75" customHeight="1" x14ac:dyDescent="0.25">
      <c r="B85" s="36">
        <v>52</v>
      </c>
      <c r="C85" s="37" t="s">
        <v>206</v>
      </c>
      <c r="D85" s="37" t="s">
        <v>167</v>
      </c>
      <c r="E85" s="1"/>
      <c r="F85" s="38">
        <v>290</v>
      </c>
      <c r="G85" s="38">
        <v>40</v>
      </c>
      <c r="H85" s="38">
        <v>45</v>
      </c>
      <c r="I85" s="38">
        <v>35</v>
      </c>
      <c r="J85" s="38">
        <v>40</v>
      </c>
      <c r="K85" s="38">
        <v>40</v>
      </c>
      <c r="L85" s="38">
        <v>90</v>
      </c>
      <c r="M85" s="38">
        <v>1</v>
      </c>
      <c r="N85" s="39" t="b">
        <v>0</v>
      </c>
    </row>
    <row r="86" spans="2:14" ht="15.75" customHeight="1" x14ac:dyDescent="0.25">
      <c r="B86" s="36">
        <v>11</v>
      </c>
      <c r="C86" s="37" t="s">
        <v>161</v>
      </c>
      <c r="D86" s="37" t="s">
        <v>160</v>
      </c>
      <c r="E86" s="1"/>
      <c r="F86" s="38">
        <v>205</v>
      </c>
      <c r="G86" s="38">
        <v>50</v>
      </c>
      <c r="H86" s="38">
        <v>20</v>
      </c>
      <c r="I86" s="38">
        <v>55</v>
      </c>
      <c r="J86" s="38">
        <v>25</v>
      </c>
      <c r="K86" s="38">
        <v>25</v>
      </c>
      <c r="L86" s="38">
        <v>30</v>
      </c>
      <c r="M86" s="38">
        <v>2</v>
      </c>
      <c r="N86" s="39" t="b">
        <v>0</v>
      </c>
    </row>
    <row r="87" spans="2:14" ht="15.75" customHeight="1" x14ac:dyDescent="0.25">
      <c r="B87" s="36">
        <v>151</v>
      </c>
      <c r="C87" s="37" t="s">
        <v>312</v>
      </c>
      <c r="D87" s="37" t="s">
        <v>219</v>
      </c>
      <c r="E87" s="1"/>
      <c r="F87" s="38">
        <v>600</v>
      </c>
      <c r="G87" s="38">
        <v>100</v>
      </c>
      <c r="H87" s="38">
        <v>100</v>
      </c>
      <c r="I87" s="38">
        <v>100</v>
      </c>
      <c r="J87" s="38">
        <v>100</v>
      </c>
      <c r="K87" s="38">
        <v>100</v>
      </c>
      <c r="L87" s="38">
        <v>100</v>
      </c>
      <c r="M87" s="38">
        <v>1</v>
      </c>
      <c r="N87" s="39" t="b">
        <v>0</v>
      </c>
    </row>
    <row r="88" spans="2:14" ht="15.75" customHeight="1" x14ac:dyDescent="0.25">
      <c r="B88" s="36">
        <v>150</v>
      </c>
      <c r="C88" s="37" t="s">
        <v>311</v>
      </c>
      <c r="D88" s="37" t="s">
        <v>219</v>
      </c>
      <c r="E88" s="1"/>
      <c r="F88" s="38">
        <v>680</v>
      </c>
      <c r="G88" s="38">
        <v>106</v>
      </c>
      <c r="H88" s="38">
        <v>110</v>
      </c>
      <c r="I88" s="38">
        <v>90</v>
      </c>
      <c r="J88" s="38">
        <v>154</v>
      </c>
      <c r="K88" s="38">
        <v>90</v>
      </c>
      <c r="L88" s="38">
        <v>130</v>
      </c>
      <c r="M88" s="38">
        <v>1</v>
      </c>
      <c r="N88" s="39" t="b">
        <v>1</v>
      </c>
    </row>
    <row r="89" spans="2:14" ht="15.75" customHeight="1" x14ac:dyDescent="0.25">
      <c r="B89" s="36">
        <v>146</v>
      </c>
      <c r="C89" s="37" t="s">
        <v>306</v>
      </c>
      <c r="D89" s="37" t="s">
        <v>151</v>
      </c>
      <c r="E89" s="37" t="s">
        <v>154</v>
      </c>
      <c r="F89" s="38">
        <v>580</v>
      </c>
      <c r="G89" s="38">
        <v>90</v>
      </c>
      <c r="H89" s="38">
        <v>100</v>
      </c>
      <c r="I89" s="38">
        <v>90</v>
      </c>
      <c r="J89" s="38">
        <v>125</v>
      </c>
      <c r="K89" s="38">
        <v>85</v>
      </c>
      <c r="L89" s="38">
        <v>90</v>
      </c>
      <c r="M89" s="38">
        <v>1</v>
      </c>
      <c r="N89" s="39" t="b">
        <v>1</v>
      </c>
    </row>
    <row r="90" spans="2:14" ht="15.75" customHeight="1" x14ac:dyDescent="0.25">
      <c r="B90" s="36">
        <v>122</v>
      </c>
      <c r="C90" s="37" t="s">
        <v>282</v>
      </c>
      <c r="D90" s="37" t="s">
        <v>219</v>
      </c>
      <c r="E90" s="37" t="s">
        <v>189</v>
      </c>
      <c r="F90" s="38">
        <v>460</v>
      </c>
      <c r="G90" s="38">
        <v>40</v>
      </c>
      <c r="H90" s="38">
        <v>45</v>
      </c>
      <c r="I90" s="38">
        <v>65</v>
      </c>
      <c r="J90" s="38">
        <v>100</v>
      </c>
      <c r="K90" s="38">
        <v>120</v>
      </c>
      <c r="L90" s="38">
        <v>90</v>
      </c>
      <c r="M90" s="38">
        <v>1</v>
      </c>
      <c r="N90" s="39" t="b">
        <v>0</v>
      </c>
    </row>
    <row r="91" spans="2:14" ht="15.75" customHeight="1" x14ac:dyDescent="0.25">
      <c r="B91" s="36">
        <v>89</v>
      </c>
      <c r="C91" s="37" t="s">
        <v>248</v>
      </c>
      <c r="D91" s="37" t="s">
        <v>147</v>
      </c>
      <c r="E91" s="1"/>
      <c r="F91" s="38">
        <v>500</v>
      </c>
      <c r="G91" s="38">
        <v>105</v>
      </c>
      <c r="H91" s="38">
        <v>105</v>
      </c>
      <c r="I91" s="38">
        <v>75</v>
      </c>
      <c r="J91" s="38">
        <v>65</v>
      </c>
      <c r="K91" s="38">
        <v>100</v>
      </c>
      <c r="L91" s="38">
        <v>50</v>
      </c>
      <c r="M91" s="38">
        <v>2</v>
      </c>
      <c r="N91" s="39" t="b">
        <v>0</v>
      </c>
    </row>
    <row r="92" spans="2:14" ht="15.75" customHeight="1" x14ac:dyDescent="0.25">
      <c r="B92" s="36">
        <v>34</v>
      </c>
      <c r="C92" s="37" t="s">
        <v>187</v>
      </c>
      <c r="D92" s="37" t="s">
        <v>147</v>
      </c>
      <c r="E92" s="37" t="s">
        <v>180</v>
      </c>
      <c r="F92" s="38">
        <v>505</v>
      </c>
      <c r="G92" s="38">
        <v>81</v>
      </c>
      <c r="H92" s="38">
        <v>102</v>
      </c>
      <c r="I92" s="38">
        <v>77</v>
      </c>
      <c r="J92" s="38">
        <v>85</v>
      </c>
      <c r="K92" s="38">
        <v>75</v>
      </c>
      <c r="L92" s="38">
        <v>85</v>
      </c>
      <c r="M92" s="38">
        <v>3</v>
      </c>
      <c r="N92" s="39" t="b">
        <v>0</v>
      </c>
    </row>
    <row r="93" spans="2:14" ht="15.75" customHeight="1" x14ac:dyDescent="0.25">
      <c r="B93" s="36">
        <v>31</v>
      </c>
      <c r="C93" s="37" t="s">
        <v>184</v>
      </c>
      <c r="D93" s="37" t="s">
        <v>147</v>
      </c>
      <c r="E93" s="37" t="s">
        <v>180</v>
      </c>
      <c r="F93" s="38">
        <v>505</v>
      </c>
      <c r="G93" s="38">
        <v>90</v>
      </c>
      <c r="H93" s="38">
        <v>92</v>
      </c>
      <c r="I93" s="38">
        <v>87</v>
      </c>
      <c r="J93" s="38">
        <v>75</v>
      </c>
      <c r="K93" s="38">
        <v>85</v>
      </c>
      <c r="L93" s="38">
        <v>76</v>
      </c>
      <c r="M93" s="38">
        <v>3</v>
      </c>
      <c r="N93" s="39" t="b">
        <v>0</v>
      </c>
    </row>
    <row r="94" spans="2:14" ht="15.75" customHeight="1" x14ac:dyDescent="0.25">
      <c r="B94" s="36">
        <v>32</v>
      </c>
      <c r="C94" s="37" t="s">
        <v>185</v>
      </c>
      <c r="D94" s="37" t="s">
        <v>147</v>
      </c>
      <c r="E94" s="1"/>
      <c r="F94" s="38">
        <v>273</v>
      </c>
      <c r="G94" s="38">
        <v>46</v>
      </c>
      <c r="H94" s="38">
        <v>57</v>
      </c>
      <c r="I94" s="38">
        <v>40</v>
      </c>
      <c r="J94" s="38">
        <v>40</v>
      </c>
      <c r="K94" s="38">
        <v>40</v>
      </c>
      <c r="L94" s="38">
        <v>50</v>
      </c>
      <c r="M94" s="38">
        <v>1</v>
      </c>
      <c r="N94" s="39" t="b">
        <v>0</v>
      </c>
    </row>
    <row r="95" spans="2:14" ht="15.75" customHeight="1" x14ac:dyDescent="0.25">
      <c r="B95" s="36">
        <v>29</v>
      </c>
      <c r="C95" s="37" t="s">
        <v>182</v>
      </c>
      <c r="D95" s="37" t="s">
        <v>147</v>
      </c>
      <c r="E95" s="1"/>
      <c r="F95" s="38">
        <v>275</v>
      </c>
      <c r="G95" s="38">
        <v>55</v>
      </c>
      <c r="H95" s="38">
        <v>47</v>
      </c>
      <c r="I95" s="38">
        <v>52</v>
      </c>
      <c r="J95" s="38">
        <v>40</v>
      </c>
      <c r="K95" s="38">
        <v>40</v>
      </c>
      <c r="L95" s="38">
        <v>41</v>
      </c>
      <c r="M95" s="38">
        <v>1</v>
      </c>
      <c r="N95" s="39" t="b">
        <v>0</v>
      </c>
    </row>
    <row r="96" spans="2:14" ht="15.75" customHeight="1" x14ac:dyDescent="0.25">
      <c r="B96" s="36">
        <v>30</v>
      </c>
      <c r="C96" s="37" t="s">
        <v>183</v>
      </c>
      <c r="D96" s="37" t="s">
        <v>147</v>
      </c>
      <c r="E96" s="1"/>
      <c r="F96" s="38">
        <v>365</v>
      </c>
      <c r="G96" s="38">
        <v>70</v>
      </c>
      <c r="H96" s="38">
        <v>62</v>
      </c>
      <c r="I96" s="38">
        <v>67</v>
      </c>
      <c r="J96" s="38">
        <v>55</v>
      </c>
      <c r="K96" s="38">
        <v>55</v>
      </c>
      <c r="L96" s="38">
        <v>56</v>
      </c>
      <c r="M96" s="38">
        <v>2</v>
      </c>
      <c r="N96" s="39" t="b">
        <v>0</v>
      </c>
    </row>
    <row r="97" spans="2:14" ht="15.75" customHeight="1" x14ac:dyDescent="0.25">
      <c r="B97" s="36">
        <v>33</v>
      </c>
      <c r="C97" s="37" t="s">
        <v>186</v>
      </c>
      <c r="D97" s="37" t="s">
        <v>147</v>
      </c>
      <c r="E97" s="1"/>
      <c r="F97" s="38">
        <v>365</v>
      </c>
      <c r="G97" s="38">
        <v>61</v>
      </c>
      <c r="H97" s="38">
        <v>72</v>
      </c>
      <c r="I97" s="38">
        <v>57</v>
      </c>
      <c r="J97" s="38">
        <v>55</v>
      </c>
      <c r="K97" s="38">
        <v>55</v>
      </c>
      <c r="L97" s="38">
        <v>65</v>
      </c>
      <c r="M97" s="38">
        <v>2</v>
      </c>
      <c r="N97" s="39" t="b">
        <v>0</v>
      </c>
    </row>
    <row r="98" spans="2:14" ht="15.75" customHeight="1" x14ac:dyDescent="0.25">
      <c r="B98" s="36">
        <v>38</v>
      </c>
      <c r="C98" s="37" t="s">
        <v>192</v>
      </c>
      <c r="D98" s="37" t="s">
        <v>151</v>
      </c>
      <c r="E98" s="1"/>
      <c r="F98" s="38">
        <v>505</v>
      </c>
      <c r="G98" s="38">
        <v>73</v>
      </c>
      <c r="H98" s="38">
        <v>76</v>
      </c>
      <c r="I98" s="38">
        <v>75</v>
      </c>
      <c r="J98" s="38">
        <v>81</v>
      </c>
      <c r="K98" s="38">
        <v>100</v>
      </c>
      <c r="L98" s="38">
        <v>100</v>
      </c>
      <c r="M98" s="38">
        <v>2</v>
      </c>
      <c r="N98" s="39" t="b">
        <v>0</v>
      </c>
    </row>
    <row r="99" spans="2:14" ht="15.75" customHeight="1" x14ac:dyDescent="0.25">
      <c r="B99" s="36">
        <v>43</v>
      </c>
      <c r="C99" s="37" t="s">
        <v>197</v>
      </c>
      <c r="D99" s="37" t="s">
        <v>146</v>
      </c>
      <c r="E99" s="37" t="s">
        <v>147</v>
      </c>
      <c r="F99" s="38">
        <v>320</v>
      </c>
      <c r="G99" s="38">
        <v>45</v>
      </c>
      <c r="H99" s="38">
        <v>50</v>
      </c>
      <c r="I99" s="38">
        <v>55</v>
      </c>
      <c r="J99" s="38">
        <v>75</v>
      </c>
      <c r="K99" s="38">
        <v>65</v>
      </c>
      <c r="L99" s="38">
        <v>30</v>
      </c>
      <c r="M99" s="38">
        <v>1</v>
      </c>
      <c r="N99" s="39" t="b">
        <v>0</v>
      </c>
    </row>
    <row r="100" spans="2:14" ht="15.75" customHeight="1" x14ac:dyDescent="0.25">
      <c r="B100" s="36">
        <v>138</v>
      </c>
      <c r="C100" s="37" t="s">
        <v>298</v>
      </c>
      <c r="D100" s="37" t="s">
        <v>231</v>
      </c>
      <c r="E100" s="37" t="s">
        <v>156</v>
      </c>
      <c r="F100" s="38">
        <v>355</v>
      </c>
      <c r="G100" s="38">
        <v>35</v>
      </c>
      <c r="H100" s="38">
        <v>40</v>
      </c>
      <c r="I100" s="38">
        <v>100</v>
      </c>
      <c r="J100" s="38">
        <v>90</v>
      </c>
      <c r="K100" s="38">
        <v>55</v>
      </c>
      <c r="L100" s="38">
        <v>35</v>
      </c>
      <c r="M100" s="38">
        <v>1</v>
      </c>
      <c r="N100" s="39" t="b">
        <v>0</v>
      </c>
    </row>
    <row r="101" spans="2:14" ht="15.75" customHeight="1" x14ac:dyDescent="0.25">
      <c r="B101" s="36">
        <v>139</v>
      </c>
      <c r="C101" s="37" t="s">
        <v>299</v>
      </c>
      <c r="D101" s="37" t="s">
        <v>231</v>
      </c>
      <c r="E101" s="37" t="s">
        <v>156</v>
      </c>
      <c r="F101" s="38">
        <v>495</v>
      </c>
      <c r="G101" s="38">
        <v>70</v>
      </c>
      <c r="H101" s="38">
        <v>60</v>
      </c>
      <c r="I101" s="38">
        <v>125</v>
      </c>
      <c r="J101" s="38">
        <v>115</v>
      </c>
      <c r="K101" s="38">
        <v>70</v>
      </c>
      <c r="L101" s="38">
        <v>55</v>
      </c>
      <c r="M101" s="38">
        <v>2</v>
      </c>
      <c r="N101" s="39" t="b">
        <v>0</v>
      </c>
    </row>
    <row r="102" spans="2:14" ht="15.75" customHeight="1" x14ac:dyDescent="0.25">
      <c r="B102" s="36">
        <v>95</v>
      </c>
      <c r="C102" s="37" t="s">
        <v>255</v>
      </c>
      <c r="D102" s="37" t="s">
        <v>231</v>
      </c>
      <c r="E102" s="37" t="s">
        <v>180</v>
      </c>
      <c r="F102" s="38">
        <v>385</v>
      </c>
      <c r="G102" s="38">
        <v>35</v>
      </c>
      <c r="H102" s="38">
        <v>45</v>
      </c>
      <c r="I102" s="38">
        <v>160</v>
      </c>
      <c r="J102" s="38">
        <v>30</v>
      </c>
      <c r="K102" s="38">
        <v>45</v>
      </c>
      <c r="L102" s="38">
        <v>70</v>
      </c>
      <c r="M102" s="38">
        <v>1</v>
      </c>
      <c r="N102" s="39" t="b">
        <v>0</v>
      </c>
    </row>
    <row r="103" spans="2:14" ht="15.75" customHeight="1" x14ac:dyDescent="0.25">
      <c r="B103" s="36">
        <v>46</v>
      </c>
      <c r="C103" s="37" t="s">
        <v>200</v>
      </c>
      <c r="D103" s="37" t="s">
        <v>160</v>
      </c>
      <c r="E103" s="37" t="s">
        <v>146</v>
      </c>
      <c r="F103" s="38">
        <v>285</v>
      </c>
      <c r="G103" s="38">
        <v>35</v>
      </c>
      <c r="H103" s="38">
        <v>70</v>
      </c>
      <c r="I103" s="38">
        <v>55</v>
      </c>
      <c r="J103" s="38">
        <v>45</v>
      </c>
      <c r="K103" s="38">
        <v>55</v>
      </c>
      <c r="L103" s="38">
        <v>25</v>
      </c>
      <c r="M103" s="38">
        <v>1</v>
      </c>
      <c r="N103" s="39" t="b">
        <v>0</v>
      </c>
    </row>
    <row r="104" spans="2:14" ht="15.75" customHeight="1" x14ac:dyDescent="0.25">
      <c r="B104" s="36">
        <v>47</v>
      </c>
      <c r="C104" s="37" t="s">
        <v>201</v>
      </c>
      <c r="D104" s="37" t="s">
        <v>160</v>
      </c>
      <c r="E104" s="37" t="s">
        <v>146</v>
      </c>
      <c r="F104" s="38">
        <v>405</v>
      </c>
      <c r="G104" s="38">
        <v>60</v>
      </c>
      <c r="H104" s="38">
        <v>95</v>
      </c>
      <c r="I104" s="38">
        <v>80</v>
      </c>
      <c r="J104" s="38">
        <v>60</v>
      </c>
      <c r="K104" s="38">
        <v>80</v>
      </c>
      <c r="L104" s="38">
        <v>30</v>
      </c>
      <c r="M104" s="38">
        <v>2</v>
      </c>
      <c r="N104" s="39" t="b">
        <v>0</v>
      </c>
    </row>
    <row r="105" spans="2:14" ht="15.75" customHeight="1" x14ac:dyDescent="0.25">
      <c r="B105" s="36">
        <v>53</v>
      </c>
      <c r="C105" s="37" t="s">
        <v>207</v>
      </c>
      <c r="D105" s="37" t="s">
        <v>167</v>
      </c>
      <c r="E105" s="1"/>
      <c r="F105" s="38">
        <v>440</v>
      </c>
      <c r="G105" s="38">
        <v>65</v>
      </c>
      <c r="H105" s="38">
        <v>70</v>
      </c>
      <c r="I105" s="38">
        <v>60</v>
      </c>
      <c r="J105" s="38">
        <v>65</v>
      </c>
      <c r="K105" s="38">
        <v>65</v>
      </c>
      <c r="L105" s="38">
        <v>115</v>
      </c>
      <c r="M105" s="38">
        <v>2</v>
      </c>
      <c r="N105" s="39" t="b">
        <v>0</v>
      </c>
    </row>
    <row r="106" spans="2:14" ht="15.75" customHeight="1" x14ac:dyDescent="0.25">
      <c r="B106" s="36">
        <v>18</v>
      </c>
      <c r="C106" s="37" t="s">
        <v>169</v>
      </c>
      <c r="D106" s="37" t="s">
        <v>167</v>
      </c>
      <c r="E106" s="37" t="s">
        <v>154</v>
      </c>
      <c r="F106" s="38">
        <v>479</v>
      </c>
      <c r="G106" s="38">
        <v>83</v>
      </c>
      <c r="H106" s="38">
        <v>80</v>
      </c>
      <c r="I106" s="38">
        <v>75</v>
      </c>
      <c r="J106" s="38">
        <v>70</v>
      </c>
      <c r="K106" s="38">
        <v>70</v>
      </c>
      <c r="L106" s="38">
        <v>101</v>
      </c>
      <c r="M106" s="38">
        <v>3</v>
      </c>
      <c r="N106" s="39" t="b">
        <v>0</v>
      </c>
    </row>
    <row r="107" spans="2:14" ht="15.75" customHeight="1" x14ac:dyDescent="0.25">
      <c r="B107" s="36">
        <v>17</v>
      </c>
      <c r="C107" s="37" t="s">
        <v>168</v>
      </c>
      <c r="D107" s="37" t="s">
        <v>167</v>
      </c>
      <c r="E107" s="37" t="s">
        <v>154</v>
      </c>
      <c r="F107" s="38">
        <v>349</v>
      </c>
      <c r="G107" s="38">
        <v>63</v>
      </c>
      <c r="H107" s="38">
        <v>60</v>
      </c>
      <c r="I107" s="38">
        <v>55</v>
      </c>
      <c r="J107" s="38">
        <v>50</v>
      </c>
      <c r="K107" s="38">
        <v>50</v>
      </c>
      <c r="L107" s="38">
        <v>71</v>
      </c>
      <c r="M107" s="38">
        <v>2</v>
      </c>
      <c r="N107" s="39" t="b">
        <v>0</v>
      </c>
    </row>
    <row r="108" spans="2:14" ht="15.75" customHeight="1" x14ac:dyDescent="0.25">
      <c r="B108" s="36">
        <v>16</v>
      </c>
      <c r="C108" s="37" t="s">
        <v>166</v>
      </c>
      <c r="D108" s="37" t="s">
        <v>167</v>
      </c>
      <c r="E108" s="37" t="s">
        <v>154</v>
      </c>
      <c r="F108" s="38">
        <v>251</v>
      </c>
      <c r="G108" s="38">
        <v>40</v>
      </c>
      <c r="H108" s="38">
        <v>45</v>
      </c>
      <c r="I108" s="38">
        <v>40</v>
      </c>
      <c r="J108" s="38">
        <v>35</v>
      </c>
      <c r="K108" s="38">
        <v>35</v>
      </c>
      <c r="L108" s="38">
        <v>56</v>
      </c>
      <c r="M108" s="38">
        <v>1</v>
      </c>
      <c r="N108" s="39" t="b">
        <v>0</v>
      </c>
    </row>
    <row r="109" spans="2:14" ht="15.75" customHeight="1" x14ac:dyDescent="0.25">
      <c r="B109" s="36">
        <v>25</v>
      </c>
      <c r="C109" s="37" t="s">
        <v>176</v>
      </c>
      <c r="D109" s="37" t="s">
        <v>177</v>
      </c>
      <c r="E109" s="1"/>
      <c r="F109" s="38">
        <v>320</v>
      </c>
      <c r="G109" s="38">
        <v>35</v>
      </c>
      <c r="H109" s="38">
        <v>55</v>
      </c>
      <c r="I109" s="38">
        <v>40</v>
      </c>
      <c r="J109" s="38">
        <v>50</v>
      </c>
      <c r="K109" s="38">
        <v>50</v>
      </c>
      <c r="L109" s="38">
        <v>90</v>
      </c>
      <c r="M109" s="38">
        <v>1</v>
      </c>
      <c r="N109" s="39" t="b">
        <v>0</v>
      </c>
    </row>
    <row r="110" spans="2:14" ht="15.75" customHeight="1" x14ac:dyDescent="0.25">
      <c r="B110" s="36">
        <v>127</v>
      </c>
      <c r="C110" s="37" t="s">
        <v>287</v>
      </c>
      <c r="D110" s="37" t="s">
        <v>160</v>
      </c>
      <c r="E110" s="1"/>
      <c r="F110" s="38">
        <v>500</v>
      </c>
      <c r="G110" s="38">
        <v>65</v>
      </c>
      <c r="H110" s="38">
        <v>125</v>
      </c>
      <c r="I110" s="38">
        <v>100</v>
      </c>
      <c r="J110" s="38">
        <v>55</v>
      </c>
      <c r="K110" s="38">
        <v>70</v>
      </c>
      <c r="L110" s="38">
        <v>85</v>
      </c>
      <c r="M110" s="38">
        <v>1</v>
      </c>
      <c r="N110" s="39" t="b">
        <v>0</v>
      </c>
    </row>
    <row r="111" spans="2:14" ht="15.75" customHeight="1" x14ac:dyDescent="0.25">
      <c r="B111" s="36">
        <v>60</v>
      </c>
      <c r="C111" s="37" t="s">
        <v>215</v>
      </c>
      <c r="D111" s="37" t="s">
        <v>156</v>
      </c>
      <c r="E111" s="1"/>
      <c r="F111" s="38">
        <v>300</v>
      </c>
      <c r="G111" s="38">
        <v>40</v>
      </c>
      <c r="H111" s="38">
        <v>50</v>
      </c>
      <c r="I111" s="38">
        <v>40</v>
      </c>
      <c r="J111" s="38">
        <v>40</v>
      </c>
      <c r="K111" s="38">
        <v>40</v>
      </c>
      <c r="L111" s="38">
        <v>90</v>
      </c>
      <c r="M111" s="38">
        <v>1</v>
      </c>
      <c r="N111" s="39" t="b">
        <v>0</v>
      </c>
    </row>
    <row r="112" spans="2:14" ht="15.75" customHeight="1" x14ac:dyDescent="0.25">
      <c r="B112" s="36">
        <v>61</v>
      </c>
      <c r="C112" s="37" t="s">
        <v>216</v>
      </c>
      <c r="D112" s="37" t="s">
        <v>156</v>
      </c>
      <c r="E112" s="1"/>
      <c r="F112" s="38">
        <v>385</v>
      </c>
      <c r="G112" s="38">
        <v>65</v>
      </c>
      <c r="H112" s="38">
        <v>65</v>
      </c>
      <c r="I112" s="38">
        <v>65</v>
      </c>
      <c r="J112" s="38">
        <v>50</v>
      </c>
      <c r="K112" s="38">
        <v>50</v>
      </c>
      <c r="L112" s="38">
        <v>90</v>
      </c>
      <c r="M112" s="38">
        <v>2</v>
      </c>
      <c r="N112" s="39" t="b">
        <v>0</v>
      </c>
    </row>
    <row r="113" spans="2:14" ht="15.75" customHeight="1" x14ac:dyDescent="0.25">
      <c r="B113" s="36">
        <v>62</v>
      </c>
      <c r="C113" s="37" t="s">
        <v>217</v>
      </c>
      <c r="D113" s="37" t="s">
        <v>156</v>
      </c>
      <c r="E113" s="37" t="s">
        <v>211</v>
      </c>
      <c r="F113" s="38">
        <v>510</v>
      </c>
      <c r="G113" s="38">
        <v>90</v>
      </c>
      <c r="H113" s="38">
        <v>95</v>
      </c>
      <c r="I113" s="38">
        <v>95</v>
      </c>
      <c r="J113" s="38">
        <v>70</v>
      </c>
      <c r="K113" s="38">
        <v>90</v>
      </c>
      <c r="L113" s="38">
        <v>70</v>
      </c>
      <c r="M113" s="38">
        <v>3</v>
      </c>
      <c r="N113" s="39" t="b">
        <v>0</v>
      </c>
    </row>
    <row r="114" spans="2:14" ht="15.75" customHeight="1" x14ac:dyDescent="0.25">
      <c r="B114" s="36">
        <v>77</v>
      </c>
      <c r="C114" s="37" t="s">
        <v>234</v>
      </c>
      <c r="D114" s="37" t="s">
        <v>151</v>
      </c>
      <c r="E114" s="1"/>
      <c r="F114" s="38">
        <v>410</v>
      </c>
      <c r="G114" s="38">
        <v>50</v>
      </c>
      <c r="H114" s="38">
        <v>85</v>
      </c>
      <c r="I114" s="38">
        <v>55</v>
      </c>
      <c r="J114" s="38">
        <v>65</v>
      </c>
      <c r="K114" s="38">
        <v>65</v>
      </c>
      <c r="L114" s="38">
        <v>90</v>
      </c>
      <c r="M114" s="38">
        <v>1</v>
      </c>
      <c r="N114" s="39" t="b">
        <v>0</v>
      </c>
    </row>
    <row r="115" spans="2:14" ht="15.75" customHeight="1" x14ac:dyDescent="0.25">
      <c r="B115" s="36">
        <v>137</v>
      </c>
      <c r="C115" s="37" t="s">
        <v>297</v>
      </c>
      <c r="D115" s="37" t="s">
        <v>167</v>
      </c>
      <c r="E115" s="1"/>
      <c r="F115" s="38">
        <v>395</v>
      </c>
      <c r="G115" s="38">
        <v>65</v>
      </c>
      <c r="H115" s="38">
        <v>60</v>
      </c>
      <c r="I115" s="38">
        <v>70</v>
      </c>
      <c r="J115" s="38">
        <v>85</v>
      </c>
      <c r="K115" s="38">
        <v>75</v>
      </c>
      <c r="L115" s="38">
        <v>40</v>
      </c>
      <c r="M115" s="38">
        <v>1</v>
      </c>
      <c r="N115" s="39" t="b">
        <v>0</v>
      </c>
    </row>
    <row r="116" spans="2:14" ht="15.75" customHeight="1" x14ac:dyDescent="0.25">
      <c r="B116" s="36">
        <v>57</v>
      </c>
      <c r="C116" s="37" t="s">
        <v>212</v>
      </c>
      <c r="D116" s="37" t="s">
        <v>211</v>
      </c>
      <c r="E116" s="1"/>
      <c r="F116" s="38">
        <v>455</v>
      </c>
      <c r="G116" s="38">
        <v>65</v>
      </c>
      <c r="H116" s="38">
        <v>105</v>
      </c>
      <c r="I116" s="38">
        <v>60</v>
      </c>
      <c r="J116" s="38">
        <v>60</v>
      </c>
      <c r="K116" s="38">
        <v>70</v>
      </c>
      <c r="L116" s="38">
        <v>95</v>
      </c>
      <c r="M116" s="38">
        <v>2</v>
      </c>
      <c r="N116" s="39" t="b">
        <v>0</v>
      </c>
    </row>
    <row r="117" spans="2:14" ht="15.75" customHeight="1" x14ac:dyDescent="0.25">
      <c r="B117" s="36">
        <v>54</v>
      </c>
      <c r="C117" s="37" t="s">
        <v>208</v>
      </c>
      <c r="D117" s="37" t="s">
        <v>156</v>
      </c>
      <c r="E117" s="1"/>
      <c r="F117" s="38">
        <v>320</v>
      </c>
      <c r="G117" s="38">
        <v>50</v>
      </c>
      <c r="H117" s="38">
        <v>52</v>
      </c>
      <c r="I117" s="38">
        <v>48</v>
      </c>
      <c r="J117" s="38">
        <v>65</v>
      </c>
      <c r="K117" s="38">
        <v>50</v>
      </c>
      <c r="L117" s="38">
        <v>55</v>
      </c>
      <c r="M117" s="38">
        <v>1</v>
      </c>
      <c r="N117" s="39" t="b">
        <v>0</v>
      </c>
    </row>
    <row r="118" spans="2:14" ht="15.75" customHeight="1" x14ac:dyDescent="0.25">
      <c r="B118" s="36">
        <v>26</v>
      </c>
      <c r="C118" s="37" t="s">
        <v>178</v>
      </c>
      <c r="D118" s="37" t="s">
        <v>177</v>
      </c>
      <c r="E118" s="1"/>
      <c r="F118" s="38">
        <v>485</v>
      </c>
      <c r="G118" s="38">
        <v>60</v>
      </c>
      <c r="H118" s="38">
        <v>90</v>
      </c>
      <c r="I118" s="38">
        <v>55</v>
      </c>
      <c r="J118" s="38">
        <v>90</v>
      </c>
      <c r="K118" s="38">
        <v>80</v>
      </c>
      <c r="L118" s="38">
        <v>110</v>
      </c>
      <c r="M118" s="38">
        <v>2</v>
      </c>
      <c r="N118" s="39" t="b">
        <v>0</v>
      </c>
    </row>
    <row r="119" spans="2:14" ht="15.75" customHeight="1" x14ac:dyDescent="0.25">
      <c r="B119" s="36">
        <v>78</v>
      </c>
      <c r="C119" s="37" t="s">
        <v>235</v>
      </c>
      <c r="D119" s="37" t="s">
        <v>151</v>
      </c>
      <c r="E119" s="1"/>
      <c r="F119" s="38">
        <v>500</v>
      </c>
      <c r="G119" s="38">
        <v>65</v>
      </c>
      <c r="H119" s="38">
        <v>100</v>
      </c>
      <c r="I119" s="38">
        <v>70</v>
      </c>
      <c r="J119" s="38">
        <v>80</v>
      </c>
      <c r="K119" s="38">
        <v>80</v>
      </c>
      <c r="L119" s="38">
        <v>105</v>
      </c>
      <c r="M119" s="38">
        <v>2</v>
      </c>
      <c r="N119" s="39" t="b">
        <v>0</v>
      </c>
    </row>
    <row r="120" spans="2:14" ht="15.75" customHeight="1" x14ac:dyDescent="0.25">
      <c r="B120" s="36">
        <v>20</v>
      </c>
      <c r="C120" s="37" t="s">
        <v>171</v>
      </c>
      <c r="D120" s="37" t="s">
        <v>167</v>
      </c>
      <c r="E120" s="1"/>
      <c r="F120" s="38">
        <v>413</v>
      </c>
      <c r="G120" s="38">
        <v>55</v>
      </c>
      <c r="H120" s="38">
        <v>81</v>
      </c>
      <c r="I120" s="38">
        <v>60</v>
      </c>
      <c r="J120" s="38">
        <v>50</v>
      </c>
      <c r="K120" s="38">
        <v>70</v>
      </c>
      <c r="L120" s="38">
        <v>97</v>
      </c>
      <c r="M120" s="38">
        <v>2</v>
      </c>
      <c r="N120" s="39" t="b">
        <v>0</v>
      </c>
    </row>
    <row r="121" spans="2:14" ht="15.75" customHeight="1" x14ac:dyDescent="0.25">
      <c r="B121" s="36">
        <v>19</v>
      </c>
      <c r="C121" s="37" t="s">
        <v>170</v>
      </c>
      <c r="D121" s="37" t="s">
        <v>167</v>
      </c>
      <c r="E121" s="1"/>
      <c r="F121" s="38">
        <v>253</v>
      </c>
      <c r="G121" s="38">
        <v>30</v>
      </c>
      <c r="H121" s="38">
        <v>56</v>
      </c>
      <c r="I121" s="38">
        <v>35</v>
      </c>
      <c r="J121" s="38">
        <v>25</v>
      </c>
      <c r="K121" s="38">
        <v>35</v>
      </c>
      <c r="L121" s="38">
        <v>72</v>
      </c>
      <c r="M121" s="38">
        <v>1</v>
      </c>
      <c r="N121" s="39" t="b">
        <v>0</v>
      </c>
    </row>
    <row r="122" spans="2:14" ht="15.75" customHeight="1" x14ac:dyDescent="0.25">
      <c r="B122" s="36">
        <v>112</v>
      </c>
      <c r="C122" s="37" t="s">
        <v>272</v>
      </c>
      <c r="D122" s="37" t="s">
        <v>180</v>
      </c>
      <c r="E122" s="37" t="s">
        <v>231</v>
      </c>
      <c r="F122" s="38">
        <v>485</v>
      </c>
      <c r="G122" s="38">
        <v>105</v>
      </c>
      <c r="H122" s="38">
        <v>130</v>
      </c>
      <c r="I122" s="38">
        <v>120</v>
      </c>
      <c r="J122" s="38">
        <v>45</v>
      </c>
      <c r="K122" s="38">
        <v>45</v>
      </c>
      <c r="L122" s="38">
        <v>40</v>
      </c>
      <c r="M122" s="38">
        <v>2</v>
      </c>
      <c r="N122" s="39" t="b">
        <v>0</v>
      </c>
    </row>
    <row r="123" spans="2:14" ht="15.75" customHeight="1" x14ac:dyDescent="0.25">
      <c r="B123" s="36">
        <v>111</v>
      </c>
      <c r="C123" s="37" t="s">
        <v>271</v>
      </c>
      <c r="D123" s="37" t="s">
        <v>180</v>
      </c>
      <c r="E123" s="37" t="s">
        <v>231</v>
      </c>
      <c r="F123" s="38">
        <v>345</v>
      </c>
      <c r="G123" s="38">
        <v>80</v>
      </c>
      <c r="H123" s="38">
        <v>85</v>
      </c>
      <c r="I123" s="38">
        <v>95</v>
      </c>
      <c r="J123" s="38">
        <v>30</v>
      </c>
      <c r="K123" s="38">
        <v>30</v>
      </c>
      <c r="L123" s="38">
        <v>25</v>
      </c>
      <c r="M123" s="38">
        <v>1</v>
      </c>
      <c r="N123" s="39" t="b">
        <v>0</v>
      </c>
    </row>
    <row r="124" spans="2:14" ht="15.75" customHeight="1" x14ac:dyDescent="0.25">
      <c r="B124" s="36">
        <v>27</v>
      </c>
      <c r="C124" s="37" t="s">
        <v>179</v>
      </c>
      <c r="D124" s="37" t="s">
        <v>180</v>
      </c>
      <c r="E124" s="1"/>
      <c r="F124" s="38">
        <v>300</v>
      </c>
      <c r="G124" s="38">
        <v>50</v>
      </c>
      <c r="H124" s="38">
        <v>75</v>
      </c>
      <c r="I124" s="38">
        <v>85</v>
      </c>
      <c r="J124" s="38">
        <v>20</v>
      </c>
      <c r="K124" s="38">
        <v>30</v>
      </c>
      <c r="L124" s="38">
        <v>40</v>
      </c>
      <c r="M124" s="38">
        <v>1</v>
      </c>
      <c r="N124" s="39" t="b">
        <v>0</v>
      </c>
    </row>
    <row r="125" spans="2:14" ht="15.75" customHeight="1" x14ac:dyDescent="0.25">
      <c r="B125" s="36">
        <v>28</v>
      </c>
      <c r="C125" s="37" t="s">
        <v>181</v>
      </c>
      <c r="D125" s="37" t="s">
        <v>180</v>
      </c>
      <c r="E125" s="1"/>
      <c r="F125" s="38">
        <v>450</v>
      </c>
      <c r="G125" s="38">
        <v>75</v>
      </c>
      <c r="H125" s="38">
        <v>100</v>
      </c>
      <c r="I125" s="38">
        <v>110</v>
      </c>
      <c r="J125" s="38">
        <v>45</v>
      </c>
      <c r="K125" s="38">
        <v>55</v>
      </c>
      <c r="L125" s="38">
        <v>65</v>
      </c>
      <c r="M125" s="38">
        <v>2</v>
      </c>
      <c r="N125" s="39" t="b">
        <v>0</v>
      </c>
    </row>
    <row r="126" spans="2:14" ht="15.75" customHeight="1" x14ac:dyDescent="0.25">
      <c r="B126" s="36">
        <v>123</v>
      </c>
      <c r="C126" s="37" t="s">
        <v>283</v>
      </c>
      <c r="D126" s="37" t="s">
        <v>160</v>
      </c>
      <c r="E126" s="37" t="s">
        <v>154</v>
      </c>
      <c r="F126" s="38">
        <v>500</v>
      </c>
      <c r="G126" s="38">
        <v>70</v>
      </c>
      <c r="H126" s="38">
        <v>110</v>
      </c>
      <c r="I126" s="38">
        <v>80</v>
      </c>
      <c r="J126" s="38">
        <v>55</v>
      </c>
      <c r="K126" s="38">
        <v>80</v>
      </c>
      <c r="L126" s="38">
        <v>105</v>
      </c>
      <c r="M126" s="38">
        <v>1</v>
      </c>
      <c r="N126" s="39" t="b">
        <v>0</v>
      </c>
    </row>
    <row r="127" spans="2:14" ht="15.75" customHeight="1" x14ac:dyDescent="0.25">
      <c r="B127" s="36">
        <v>117</v>
      </c>
      <c r="C127" s="37" t="s">
        <v>277</v>
      </c>
      <c r="D127" s="37" t="s">
        <v>156</v>
      </c>
      <c r="E127" s="1"/>
      <c r="F127" s="38">
        <v>440</v>
      </c>
      <c r="G127" s="38">
        <v>55</v>
      </c>
      <c r="H127" s="38">
        <v>65</v>
      </c>
      <c r="I127" s="38">
        <v>95</v>
      </c>
      <c r="J127" s="38">
        <v>95</v>
      </c>
      <c r="K127" s="38">
        <v>45</v>
      </c>
      <c r="L127" s="38">
        <v>85</v>
      </c>
      <c r="M127" s="38">
        <v>2</v>
      </c>
      <c r="N127" s="39" t="b">
        <v>0</v>
      </c>
    </row>
    <row r="128" spans="2:14" ht="15.75" customHeight="1" x14ac:dyDescent="0.25">
      <c r="B128" s="36">
        <v>119</v>
      </c>
      <c r="C128" s="37" t="s">
        <v>279</v>
      </c>
      <c r="D128" s="37" t="s">
        <v>156</v>
      </c>
      <c r="E128" s="1"/>
      <c r="F128" s="38">
        <v>450</v>
      </c>
      <c r="G128" s="38">
        <v>80</v>
      </c>
      <c r="H128" s="38">
        <v>92</v>
      </c>
      <c r="I128" s="38">
        <v>65</v>
      </c>
      <c r="J128" s="38">
        <v>65</v>
      </c>
      <c r="K128" s="38">
        <v>80</v>
      </c>
      <c r="L128" s="38">
        <v>68</v>
      </c>
      <c r="M128" s="38">
        <v>2</v>
      </c>
      <c r="N128" s="39" t="b">
        <v>0</v>
      </c>
    </row>
    <row r="129" spans="2:14" ht="15.75" customHeight="1" x14ac:dyDescent="0.25">
      <c r="B129" s="36">
        <v>86</v>
      </c>
      <c r="C129" s="37" t="s">
        <v>244</v>
      </c>
      <c r="D129" s="37" t="s">
        <v>156</v>
      </c>
      <c r="E129" s="1"/>
      <c r="F129" s="38">
        <v>325</v>
      </c>
      <c r="G129" s="38">
        <v>65</v>
      </c>
      <c r="H129" s="38">
        <v>45</v>
      </c>
      <c r="I129" s="38">
        <v>55</v>
      </c>
      <c r="J129" s="38">
        <v>45</v>
      </c>
      <c r="K129" s="38">
        <v>70</v>
      </c>
      <c r="L129" s="38">
        <v>45</v>
      </c>
      <c r="M129" s="38">
        <v>1</v>
      </c>
      <c r="N129" s="39" t="b">
        <v>0</v>
      </c>
    </row>
    <row r="130" spans="2:14" ht="15.75" customHeight="1" x14ac:dyDescent="0.25">
      <c r="B130" s="36">
        <v>90</v>
      </c>
      <c r="C130" s="37" t="s">
        <v>249</v>
      </c>
      <c r="D130" s="37" t="s">
        <v>156</v>
      </c>
      <c r="E130" s="1"/>
      <c r="F130" s="38">
        <v>305</v>
      </c>
      <c r="G130" s="38">
        <v>30</v>
      </c>
      <c r="H130" s="38">
        <v>65</v>
      </c>
      <c r="I130" s="38">
        <v>100</v>
      </c>
      <c r="J130" s="38">
        <v>45</v>
      </c>
      <c r="K130" s="38">
        <v>25</v>
      </c>
      <c r="L130" s="38">
        <v>40</v>
      </c>
      <c r="M130" s="38">
        <v>1</v>
      </c>
      <c r="N130" s="39" t="b">
        <v>0</v>
      </c>
    </row>
    <row r="131" spans="2:14" ht="15.75" customHeight="1" x14ac:dyDescent="0.25">
      <c r="B131" s="36">
        <v>80</v>
      </c>
      <c r="C131" s="37" t="s">
        <v>237</v>
      </c>
      <c r="D131" s="37" t="s">
        <v>156</v>
      </c>
      <c r="E131" s="37" t="s">
        <v>219</v>
      </c>
      <c r="F131" s="38">
        <v>490</v>
      </c>
      <c r="G131" s="38">
        <v>95</v>
      </c>
      <c r="H131" s="38">
        <v>75</v>
      </c>
      <c r="I131" s="38">
        <v>110</v>
      </c>
      <c r="J131" s="38">
        <v>100</v>
      </c>
      <c r="K131" s="38">
        <v>80</v>
      </c>
      <c r="L131" s="38">
        <v>30</v>
      </c>
      <c r="M131" s="38">
        <v>2</v>
      </c>
      <c r="N131" s="39" t="b">
        <v>0</v>
      </c>
    </row>
    <row r="132" spans="2:14" ht="15.75" customHeight="1" x14ac:dyDescent="0.25">
      <c r="B132" s="36">
        <v>79</v>
      </c>
      <c r="C132" s="37" t="s">
        <v>236</v>
      </c>
      <c r="D132" s="37" t="s">
        <v>156</v>
      </c>
      <c r="E132" s="37" t="s">
        <v>219</v>
      </c>
      <c r="F132" s="38">
        <v>315</v>
      </c>
      <c r="G132" s="38">
        <v>90</v>
      </c>
      <c r="H132" s="38">
        <v>65</v>
      </c>
      <c r="I132" s="38">
        <v>65</v>
      </c>
      <c r="J132" s="38">
        <v>40</v>
      </c>
      <c r="K132" s="38">
        <v>40</v>
      </c>
      <c r="L132" s="38">
        <v>15</v>
      </c>
      <c r="M132" s="38">
        <v>1</v>
      </c>
      <c r="N132" s="39" t="b">
        <v>0</v>
      </c>
    </row>
    <row r="133" spans="2:14" ht="15.75" customHeight="1" x14ac:dyDescent="0.25">
      <c r="B133" s="36">
        <v>143</v>
      </c>
      <c r="C133" s="37" t="s">
        <v>303</v>
      </c>
      <c r="D133" s="37" t="s">
        <v>167</v>
      </c>
      <c r="E133" s="1"/>
      <c r="F133" s="38">
        <v>540</v>
      </c>
      <c r="G133" s="38">
        <v>160</v>
      </c>
      <c r="H133" s="38">
        <v>110</v>
      </c>
      <c r="I133" s="38">
        <v>65</v>
      </c>
      <c r="J133" s="38">
        <v>65</v>
      </c>
      <c r="K133" s="38">
        <v>110</v>
      </c>
      <c r="L133" s="38">
        <v>30</v>
      </c>
      <c r="M133" s="38">
        <v>1</v>
      </c>
      <c r="N133" s="39" t="b">
        <v>0</v>
      </c>
    </row>
    <row r="134" spans="2:14" ht="15.75" customHeight="1" x14ac:dyDescent="0.25">
      <c r="B134" s="36">
        <v>21</v>
      </c>
      <c r="C134" s="37" t="s">
        <v>172</v>
      </c>
      <c r="D134" s="37" t="s">
        <v>167</v>
      </c>
      <c r="E134" s="37" t="s">
        <v>154</v>
      </c>
      <c r="F134" s="38">
        <v>262</v>
      </c>
      <c r="G134" s="38">
        <v>40</v>
      </c>
      <c r="H134" s="38">
        <v>60</v>
      </c>
      <c r="I134" s="38">
        <v>30</v>
      </c>
      <c r="J134" s="38">
        <v>31</v>
      </c>
      <c r="K134" s="38">
        <v>31</v>
      </c>
      <c r="L134" s="38">
        <v>70</v>
      </c>
      <c r="M134" s="38">
        <v>1</v>
      </c>
      <c r="N134" s="39" t="b">
        <v>0</v>
      </c>
    </row>
    <row r="135" spans="2:14" ht="15.75" customHeight="1" x14ac:dyDescent="0.25">
      <c r="B135" s="36">
        <v>7</v>
      </c>
      <c r="C135" s="37" t="s">
        <v>155</v>
      </c>
      <c r="D135" s="37" t="s">
        <v>156</v>
      </c>
      <c r="E135" s="1"/>
      <c r="F135" s="38">
        <v>314</v>
      </c>
      <c r="G135" s="38">
        <v>44</v>
      </c>
      <c r="H135" s="38">
        <v>48</v>
      </c>
      <c r="I135" s="38">
        <v>65</v>
      </c>
      <c r="J135" s="38">
        <v>50</v>
      </c>
      <c r="K135" s="38">
        <v>64</v>
      </c>
      <c r="L135" s="38">
        <v>43</v>
      </c>
      <c r="M135" s="38">
        <v>1</v>
      </c>
      <c r="N135" s="39" t="b">
        <v>0</v>
      </c>
    </row>
    <row r="136" spans="2:14" ht="15.75" customHeight="1" x14ac:dyDescent="0.25">
      <c r="B136" s="36">
        <v>121</v>
      </c>
      <c r="C136" s="37" t="s">
        <v>281</v>
      </c>
      <c r="D136" s="37" t="s">
        <v>156</v>
      </c>
      <c r="E136" s="37" t="s">
        <v>219</v>
      </c>
      <c r="F136" s="38">
        <v>520</v>
      </c>
      <c r="G136" s="38">
        <v>60</v>
      </c>
      <c r="H136" s="38">
        <v>75</v>
      </c>
      <c r="I136" s="38">
        <v>85</v>
      </c>
      <c r="J136" s="38">
        <v>100</v>
      </c>
      <c r="K136" s="38">
        <v>85</v>
      </c>
      <c r="L136" s="38">
        <v>115</v>
      </c>
      <c r="M136" s="38">
        <v>2</v>
      </c>
      <c r="N136" s="39" t="b">
        <v>0</v>
      </c>
    </row>
    <row r="137" spans="2:14" ht="15.75" customHeight="1" x14ac:dyDescent="0.25">
      <c r="B137" s="36">
        <v>120</v>
      </c>
      <c r="C137" s="37" t="s">
        <v>280</v>
      </c>
      <c r="D137" s="37" t="s">
        <v>156</v>
      </c>
      <c r="E137" s="1"/>
      <c r="F137" s="38">
        <v>340</v>
      </c>
      <c r="G137" s="38">
        <v>30</v>
      </c>
      <c r="H137" s="38">
        <v>45</v>
      </c>
      <c r="I137" s="38">
        <v>55</v>
      </c>
      <c r="J137" s="38">
        <v>70</v>
      </c>
      <c r="K137" s="38">
        <v>55</v>
      </c>
      <c r="L137" s="38">
        <v>85</v>
      </c>
      <c r="M137" s="38">
        <v>1</v>
      </c>
      <c r="N137" s="39" t="b">
        <v>0</v>
      </c>
    </row>
    <row r="138" spans="2:14" ht="15.75" customHeight="1" x14ac:dyDescent="0.25">
      <c r="B138" s="36">
        <v>114</v>
      </c>
      <c r="C138" s="37" t="s">
        <v>274</v>
      </c>
      <c r="D138" s="37" t="s">
        <v>146</v>
      </c>
      <c r="E138" s="1"/>
      <c r="F138" s="38">
        <v>435</v>
      </c>
      <c r="G138" s="38">
        <v>65</v>
      </c>
      <c r="H138" s="38">
        <v>55</v>
      </c>
      <c r="I138" s="38">
        <v>115</v>
      </c>
      <c r="J138" s="38">
        <v>100</v>
      </c>
      <c r="K138" s="38">
        <v>40</v>
      </c>
      <c r="L138" s="38">
        <v>60</v>
      </c>
      <c r="M138" s="38">
        <v>1</v>
      </c>
      <c r="N138" s="39" t="b">
        <v>0</v>
      </c>
    </row>
    <row r="139" spans="2:14" ht="15.75" customHeight="1" x14ac:dyDescent="0.25">
      <c r="B139" s="36">
        <v>128</v>
      </c>
      <c r="C139" s="37" t="s">
        <v>288</v>
      </c>
      <c r="D139" s="37" t="s">
        <v>167</v>
      </c>
      <c r="E139" s="1"/>
      <c r="F139" s="38">
        <v>490</v>
      </c>
      <c r="G139" s="38">
        <v>75</v>
      </c>
      <c r="H139" s="38">
        <v>100</v>
      </c>
      <c r="I139" s="38">
        <v>95</v>
      </c>
      <c r="J139" s="38">
        <v>40</v>
      </c>
      <c r="K139" s="38">
        <v>70</v>
      </c>
      <c r="L139" s="38">
        <v>110</v>
      </c>
      <c r="M139" s="38">
        <v>1</v>
      </c>
      <c r="N139" s="39" t="b">
        <v>0</v>
      </c>
    </row>
    <row r="140" spans="2:14" ht="15.75" customHeight="1" x14ac:dyDescent="0.25">
      <c r="B140" s="36">
        <v>72</v>
      </c>
      <c r="C140" s="37" t="s">
        <v>228</v>
      </c>
      <c r="D140" s="37" t="s">
        <v>156</v>
      </c>
      <c r="E140" s="37" t="s">
        <v>147</v>
      </c>
      <c r="F140" s="38">
        <v>335</v>
      </c>
      <c r="G140" s="38">
        <v>40</v>
      </c>
      <c r="H140" s="38">
        <v>40</v>
      </c>
      <c r="I140" s="38">
        <v>35</v>
      </c>
      <c r="J140" s="38">
        <v>50</v>
      </c>
      <c r="K140" s="38">
        <v>100</v>
      </c>
      <c r="L140" s="38">
        <v>70</v>
      </c>
      <c r="M140" s="38">
        <v>1</v>
      </c>
      <c r="N140" s="39" t="b">
        <v>0</v>
      </c>
    </row>
    <row r="141" spans="2:14" ht="15.75" customHeight="1" x14ac:dyDescent="0.25">
      <c r="B141" s="36">
        <v>73</v>
      </c>
      <c r="C141" s="37" t="s">
        <v>229</v>
      </c>
      <c r="D141" s="37" t="s">
        <v>156</v>
      </c>
      <c r="E141" s="37" t="s">
        <v>147</v>
      </c>
      <c r="F141" s="38">
        <v>515</v>
      </c>
      <c r="G141" s="38">
        <v>80</v>
      </c>
      <c r="H141" s="38">
        <v>70</v>
      </c>
      <c r="I141" s="38">
        <v>65</v>
      </c>
      <c r="J141" s="38">
        <v>80</v>
      </c>
      <c r="K141" s="38">
        <v>120</v>
      </c>
      <c r="L141" s="38">
        <v>100</v>
      </c>
      <c r="M141" s="38">
        <v>2</v>
      </c>
      <c r="N141" s="39" t="b">
        <v>0</v>
      </c>
    </row>
    <row r="142" spans="2:14" ht="15.75" customHeight="1" x14ac:dyDescent="0.25">
      <c r="B142" s="36">
        <v>134</v>
      </c>
      <c r="C142" s="37" t="s">
        <v>294</v>
      </c>
      <c r="D142" s="37" t="s">
        <v>156</v>
      </c>
      <c r="E142" s="1"/>
      <c r="F142" s="38">
        <v>525</v>
      </c>
      <c r="G142" s="38">
        <v>130</v>
      </c>
      <c r="H142" s="38">
        <v>65</v>
      </c>
      <c r="I142" s="38">
        <v>60</v>
      </c>
      <c r="J142" s="38">
        <v>110</v>
      </c>
      <c r="K142" s="38">
        <v>95</v>
      </c>
      <c r="L142" s="38">
        <v>65</v>
      </c>
      <c r="M142" s="38">
        <v>2</v>
      </c>
      <c r="N142" s="39" t="b">
        <v>0</v>
      </c>
    </row>
    <row r="143" spans="2:14" ht="15.75" customHeight="1" x14ac:dyDescent="0.25">
      <c r="B143" s="36">
        <v>49</v>
      </c>
      <c r="C143" s="37" t="s">
        <v>203</v>
      </c>
      <c r="D143" s="37" t="s">
        <v>160</v>
      </c>
      <c r="E143" s="37" t="s">
        <v>147</v>
      </c>
      <c r="F143" s="38">
        <v>450</v>
      </c>
      <c r="G143" s="38">
        <v>70</v>
      </c>
      <c r="H143" s="38">
        <v>65</v>
      </c>
      <c r="I143" s="38">
        <v>60</v>
      </c>
      <c r="J143" s="38">
        <v>90</v>
      </c>
      <c r="K143" s="38">
        <v>75</v>
      </c>
      <c r="L143" s="38">
        <v>90</v>
      </c>
      <c r="M143" s="38">
        <v>2</v>
      </c>
      <c r="N143" s="39" t="b">
        <v>0</v>
      </c>
    </row>
    <row r="144" spans="2:14" ht="15.75" customHeight="1" x14ac:dyDescent="0.25">
      <c r="B144" s="36">
        <v>48</v>
      </c>
      <c r="C144" s="37" t="s">
        <v>202</v>
      </c>
      <c r="D144" s="37" t="s">
        <v>160</v>
      </c>
      <c r="E144" s="37" t="s">
        <v>147</v>
      </c>
      <c r="F144" s="38">
        <v>305</v>
      </c>
      <c r="G144" s="38">
        <v>60</v>
      </c>
      <c r="H144" s="38">
        <v>55</v>
      </c>
      <c r="I144" s="38">
        <v>50</v>
      </c>
      <c r="J144" s="38">
        <v>40</v>
      </c>
      <c r="K144" s="38">
        <v>55</v>
      </c>
      <c r="L144" s="38">
        <v>45</v>
      </c>
      <c r="M144" s="38">
        <v>1</v>
      </c>
      <c r="N144" s="39" t="b">
        <v>0</v>
      </c>
    </row>
    <row r="145" spans="2:14" ht="15.75" customHeight="1" x14ac:dyDescent="0.25">
      <c r="B145" s="36">
        <v>3</v>
      </c>
      <c r="C145" s="37" t="s">
        <v>149</v>
      </c>
      <c r="D145" s="37" t="s">
        <v>146</v>
      </c>
      <c r="E145" s="37" t="s">
        <v>147</v>
      </c>
      <c r="F145" s="38">
        <v>525</v>
      </c>
      <c r="G145" s="38">
        <v>80</v>
      </c>
      <c r="H145" s="38">
        <v>82</v>
      </c>
      <c r="I145" s="38">
        <v>83</v>
      </c>
      <c r="J145" s="38">
        <v>100</v>
      </c>
      <c r="K145" s="38">
        <v>100</v>
      </c>
      <c r="L145" s="38">
        <v>80</v>
      </c>
      <c r="M145" s="38">
        <v>3</v>
      </c>
      <c r="N145" s="39" t="b">
        <v>0</v>
      </c>
    </row>
    <row r="146" spans="2:14" ht="15.75" customHeight="1" x14ac:dyDescent="0.25">
      <c r="B146" s="36">
        <v>71</v>
      </c>
      <c r="C146" s="37" t="s">
        <v>227</v>
      </c>
      <c r="D146" s="37" t="s">
        <v>146</v>
      </c>
      <c r="E146" s="37" t="s">
        <v>147</v>
      </c>
      <c r="F146" s="38">
        <v>490</v>
      </c>
      <c r="G146" s="38">
        <v>80</v>
      </c>
      <c r="H146" s="38">
        <v>105</v>
      </c>
      <c r="I146" s="38">
        <v>65</v>
      </c>
      <c r="J146" s="38">
        <v>100</v>
      </c>
      <c r="K146" s="38">
        <v>70</v>
      </c>
      <c r="L146" s="38">
        <v>70</v>
      </c>
      <c r="M146" s="38">
        <v>3</v>
      </c>
      <c r="N146" s="39" t="b">
        <v>0</v>
      </c>
    </row>
    <row r="147" spans="2:14" ht="15.75" customHeight="1" x14ac:dyDescent="0.25">
      <c r="B147" s="36">
        <v>45</v>
      </c>
      <c r="C147" s="37" t="s">
        <v>199</v>
      </c>
      <c r="D147" s="37" t="s">
        <v>146</v>
      </c>
      <c r="E147" s="37" t="s">
        <v>147</v>
      </c>
      <c r="F147" s="38">
        <v>490</v>
      </c>
      <c r="G147" s="38">
        <v>75</v>
      </c>
      <c r="H147" s="38">
        <v>80</v>
      </c>
      <c r="I147" s="38">
        <v>85</v>
      </c>
      <c r="J147" s="38">
        <v>110</v>
      </c>
      <c r="K147" s="38">
        <v>90</v>
      </c>
      <c r="L147" s="38">
        <v>50</v>
      </c>
      <c r="M147" s="38">
        <v>3</v>
      </c>
      <c r="N147" s="39" t="b">
        <v>0</v>
      </c>
    </row>
    <row r="148" spans="2:14" ht="15.75" customHeight="1" x14ac:dyDescent="0.25">
      <c r="B148" s="36">
        <v>100</v>
      </c>
      <c r="C148" s="37" t="s">
        <v>260</v>
      </c>
      <c r="D148" s="37" t="s">
        <v>177</v>
      </c>
      <c r="E148" s="1"/>
      <c r="F148" s="38">
        <v>330</v>
      </c>
      <c r="G148" s="38">
        <v>40</v>
      </c>
      <c r="H148" s="38">
        <v>30</v>
      </c>
      <c r="I148" s="38">
        <v>50</v>
      </c>
      <c r="J148" s="38">
        <v>55</v>
      </c>
      <c r="K148" s="38">
        <v>55</v>
      </c>
      <c r="L148" s="38">
        <v>100</v>
      </c>
      <c r="M148" s="38">
        <v>1</v>
      </c>
      <c r="N148" s="39" t="b">
        <v>0</v>
      </c>
    </row>
    <row r="149" spans="2:14" ht="15.75" customHeight="1" x14ac:dyDescent="0.25">
      <c r="B149" s="36">
        <v>37</v>
      </c>
      <c r="C149" s="37" t="s">
        <v>191</v>
      </c>
      <c r="D149" s="37" t="s">
        <v>151</v>
      </c>
      <c r="E149" s="1"/>
      <c r="F149" s="38">
        <v>299</v>
      </c>
      <c r="G149" s="38">
        <v>38</v>
      </c>
      <c r="H149" s="38">
        <v>41</v>
      </c>
      <c r="I149" s="38">
        <v>40</v>
      </c>
      <c r="J149" s="38">
        <v>50</v>
      </c>
      <c r="K149" s="38">
        <v>65</v>
      </c>
      <c r="L149" s="38">
        <v>65</v>
      </c>
      <c r="M149" s="38">
        <v>1</v>
      </c>
      <c r="N149" s="39" t="b">
        <v>0</v>
      </c>
    </row>
    <row r="150" spans="2:14" ht="15.75" customHeight="1" x14ac:dyDescent="0.25">
      <c r="B150" s="36">
        <v>8</v>
      </c>
      <c r="C150" s="37" t="s">
        <v>157</v>
      </c>
      <c r="D150" s="37" t="s">
        <v>156</v>
      </c>
      <c r="E150" s="1"/>
      <c r="F150" s="38">
        <v>405</v>
      </c>
      <c r="G150" s="38">
        <v>59</v>
      </c>
      <c r="H150" s="38">
        <v>63</v>
      </c>
      <c r="I150" s="38">
        <v>80</v>
      </c>
      <c r="J150" s="38">
        <v>65</v>
      </c>
      <c r="K150" s="38">
        <v>80</v>
      </c>
      <c r="L150" s="38">
        <v>58</v>
      </c>
      <c r="M150" s="38">
        <v>2</v>
      </c>
      <c r="N150" s="39" t="b">
        <v>0</v>
      </c>
    </row>
    <row r="151" spans="2:14" ht="15.75" customHeight="1" x14ac:dyDescent="0.25">
      <c r="B151" s="36">
        <v>13</v>
      </c>
      <c r="C151" s="37" t="s">
        <v>163</v>
      </c>
      <c r="D151" s="37" t="s">
        <v>160</v>
      </c>
      <c r="E151" s="37" t="s">
        <v>147</v>
      </c>
      <c r="F151" s="38">
        <v>195</v>
      </c>
      <c r="G151" s="38">
        <v>40</v>
      </c>
      <c r="H151" s="38">
        <v>35</v>
      </c>
      <c r="I151" s="38">
        <v>30</v>
      </c>
      <c r="J151" s="38">
        <v>20</v>
      </c>
      <c r="K151" s="38">
        <v>20</v>
      </c>
      <c r="L151" s="38">
        <v>50</v>
      </c>
      <c r="M151" s="38">
        <v>1</v>
      </c>
      <c r="N151" s="39" t="b">
        <v>0</v>
      </c>
    </row>
    <row r="152" spans="2:14" ht="15.75" customHeight="1" x14ac:dyDescent="0.25">
      <c r="B152" s="36">
        <v>70</v>
      </c>
      <c r="C152" s="37" t="s">
        <v>226</v>
      </c>
      <c r="D152" s="37" t="s">
        <v>146</v>
      </c>
      <c r="E152" s="37" t="s">
        <v>147</v>
      </c>
      <c r="F152" s="38">
        <v>390</v>
      </c>
      <c r="G152" s="38">
        <v>65</v>
      </c>
      <c r="H152" s="38">
        <v>90</v>
      </c>
      <c r="I152" s="38">
        <v>50</v>
      </c>
      <c r="J152" s="38">
        <v>85</v>
      </c>
      <c r="K152" s="38">
        <v>45</v>
      </c>
      <c r="L152" s="38">
        <v>55</v>
      </c>
      <c r="M152" s="38">
        <v>2</v>
      </c>
      <c r="N152" s="39" t="b">
        <v>0</v>
      </c>
    </row>
    <row r="153" spans="2:14" ht="15.75" customHeight="1" x14ac:dyDescent="0.25">
      <c r="B153" s="36">
        <v>110</v>
      </c>
      <c r="C153" s="37" t="s">
        <v>270</v>
      </c>
      <c r="D153" s="37" t="s">
        <v>147</v>
      </c>
      <c r="E153" s="1"/>
      <c r="F153" s="38">
        <v>490</v>
      </c>
      <c r="G153" s="38">
        <v>65</v>
      </c>
      <c r="H153" s="38">
        <v>90</v>
      </c>
      <c r="I153" s="38">
        <v>120</v>
      </c>
      <c r="J153" s="38">
        <v>85</v>
      </c>
      <c r="K153" s="38">
        <v>70</v>
      </c>
      <c r="L153" s="38">
        <v>60</v>
      </c>
      <c r="M153" s="38">
        <v>2</v>
      </c>
      <c r="N153" s="39" t="b">
        <v>0</v>
      </c>
    </row>
    <row r="154" spans="2:14" ht="15.75" customHeight="1" x14ac:dyDescent="0.25">
      <c r="B154" s="36">
        <v>40</v>
      </c>
      <c r="C154" s="37" t="s">
        <v>194</v>
      </c>
      <c r="D154" s="37" t="s">
        <v>167</v>
      </c>
      <c r="E154" s="37" t="s">
        <v>189</v>
      </c>
      <c r="F154" s="38">
        <v>435</v>
      </c>
      <c r="G154" s="38">
        <v>140</v>
      </c>
      <c r="H154" s="38">
        <v>70</v>
      </c>
      <c r="I154" s="38">
        <v>45</v>
      </c>
      <c r="J154" s="38">
        <v>85</v>
      </c>
      <c r="K154" s="38">
        <v>50</v>
      </c>
      <c r="L154" s="38">
        <v>45</v>
      </c>
      <c r="M154" s="38">
        <v>2</v>
      </c>
      <c r="N154" s="39" t="b">
        <v>0</v>
      </c>
    </row>
    <row r="155" spans="2:14" ht="15.75" customHeight="1" x14ac:dyDescent="0.25">
      <c r="B155" s="36">
        <v>145</v>
      </c>
      <c r="C155" s="37" t="s">
        <v>305</v>
      </c>
      <c r="D155" s="37" t="s">
        <v>177</v>
      </c>
      <c r="E155" s="37" t="s">
        <v>154</v>
      </c>
      <c r="F155" s="38">
        <v>580</v>
      </c>
      <c r="G155" s="38">
        <v>90</v>
      </c>
      <c r="H155" s="38">
        <v>90</v>
      </c>
      <c r="I155" s="38">
        <v>85</v>
      </c>
      <c r="J155" s="38">
        <v>125</v>
      </c>
      <c r="K155" s="38">
        <v>90</v>
      </c>
      <c r="L155" s="38">
        <v>100</v>
      </c>
      <c r="M155" s="38">
        <v>1</v>
      </c>
      <c r="N155" s="39" t="b">
        <v>1</v>
      </c>
    </row>
    <row r="156" spans="2:14" ht="15.75" customHeight="1" x14ac:dyDescent="0.25">
      <c r="B156" s="36">
        <v>41</v>
      </c>
      <c r="C156" s="37" t="s">
        <v>195</v>
      </c>
      <c r="D156" s="37" t="s">
        <v>147</v>
      </c>
      <c r="E156" s="37" t="s">
        <v>154</v>
      </c>
      <c r="F156" s="38">
        <v>245</v>
      </c>
      <c r="G156" s="38">
        <v>40</v>
      </c>
      <c r="H156" s="38">
        <v>45</v>
      </c>
      <c r="I156" s="38">
        <v>35</v>
      </c>
      <c r="J156" s="38">
        <v>30</v>
      </c>
      <c r="K156" s="38">
        <v>40</v>
      </c>
      <c r="L156" s="38">
        <v>55</v>
      </c>
      <c r="M156" s="38">
        <v>1</v>
      </c>
      <c r="N156" s="39" t="b">
        <v>0</v>
      </c>
    </row>
    <row r="157" spans="2:14" ht="15.75" customHeight="1" x14ac:dyDescent="0.25"/>
    <row r="158" spans="2:14" ht="15.75" customHeight="1" x14ac:dyDescent="0.25"/>
    <row r="159" spans="2:14" ht="15.75" customHeight="1" x14ac:dyDescent="0.25"/>
    <row r="160" spans="2:14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B6:N156">
    <sortCondition ref="C6:C156"/>
    <sortCondition descending="1" ref="L6:L156"/>
  </sortState>
  <mergeCells count="1">
    <mergeCell ref="D2:M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</sheetPr>
  <dimension ref="B1:N1000"/>
  <sheetViews>
    <sheetView workbookViewId="0">
      <selection activeCell="I10" sqref="B5:N156"/>
    </sheetView>
  </sheetViews>
  <sheetFormatPr defaultColWidth="12.6640625" defaultRowHeight="15" customHeight="1" x14ac:dyDescent="0.25"/>
  <sheetData>
    <row r="1" spans="2:14" ht="15.75" customHeight="1" x14ac:dyDescent="0.25"/>
    <row r="2" spans="2:14" ht="15.75" customHeight="1" x14ac:dyDescent="0.3">
      <c r="C2" s="82" t="s">
        <v>313</v>
      </c>
      <c r="D2" s="55"/>
      <c r="E2" s="55"/>
      <c r="F2" s="55"/>
      <c r="G2" s="55"/>
      <c r="H2" s="55"/>
      <c r="I2" s="55"/>
      <c r="J2" s="56"/>
    </row>
    <row r="3" spans="2:14" ht="15.75" customHeight="1" x14ac:dyDescent="0.25"/>
    <row r="4" spans="2:14" ht="15.75" customHeight="1" x14ac:dyDescent="0.25"/>
    <row r="5" spans="2:14" ht="15.75" customHeight="1" x14ac:dyDescent="0.25">
      <c r="B5" s="34" t="s">
        <v>133</v>
      </c>
      <c r="C5" s="35" t="s">
        <v>33</v>
      </c>
      <c r="D5" s="35" t="s">
        <v>134</v>
      </c>
      <c r="E5" s="35" t="s">
        <v>135</v>
      </c>
      <c r="F5" s="35" t="s">
        <v>136</v>
      </c>
      <c r="G5" s="35" t="s">
        <v>137</v>
      </c>
      <c r="H5" s="35" t="s">
        <v>138</v>
      </c>
      <c r="I5" s="35" t="s">
        <v>139</v>
      </c>
      <c r="J5" s="35" t="s">
        <v>140</v>
      </c>
      <c r="K5" s="35" t="s">
        <v>141</v>
      </c>
      <c r="L5" s="35" t="s">
        <v>142</v>
      </c>
      <c r="M5" s="35" t="s">
        <v>143</v>
      </c>
      <c r="N5" s="40" t="s">
        <v>144</v>
      </c>
    </row>
    <row r="6" spans="2:14" ht="15.75" customHeight="1" x14ac:dyDescent="0.25">
      <c r="B6" s="36">
        <v>1</v>
      </c>
      <c r="C6" s="37" t="s">
        <v>145</v>
      </c>
      <c r="D6" s="37" t="s">
        <v>146</v>
      </c>
      <c r="E6" s="37" t="s">
        <v>147</v>
      </c>
      <c r="F6" s="38">
        <v>318</v>
      </c>
      <c r="G6" s="38">
        <v>45</v>
      </c>
      <c r="H6" s="38">
        <v>49</v>
      </c>
      <c r="I6" s="38">
        <v>49</v>
      </c>
      <c r="J6" s="38">
        <v>65</v>
      </c>
      <c r="K6" s="38">
        <v>65</v>
      </c>
      <c r="L6" s="38">
        <v>45</v>
      </c>
      <c r="M6" s="38">
        <v>1</v>
      </c>
      <c r="N6" s="41" t="b">
        <v>0</v>
      </c>
    </row>
    <row r="7" spans="2:14" ht="15.75" hidden="1" customHeight="1" x14ac:dyDescent="0.25">
      <c r="B7" s="36">
        <v>2</v>
      </c>
      <c r="C7" s="37" t="s">
        <v>148</v>
      </c>
      <c r="D7" s="37" t="s">
        <v>146</v>
      </c>
      <c r="E7" s="37" t="s">
        <v>147</v>
      </c>
      <c r="F7" s="38">
        <v>405</v>
      </c>
      <c r="G7" s="38">
        <v>60</v>
      </c>
      <c r="H7" s="38">
        <v>62</v>
      </c>
      <c r="I7" s="38">
        <v>63</v>
      </c>
      <c r="J7" s="38">
        <v>80</v>
      </c>
      <c r="K7" s="38">
        <v>80</v>
      </c>
      <c r="L7" s="38">
        <v>60</v>
      </c>
      <c r="M7" s="38">
        <v>2</v>
      </c>
      <c r="N7" s="41" t="b">
        <v>0</v>
      </c>
    </row>
    <row r="8" spans="2:14" ht="15.75" customHeight="1" x14ac:dyDescent="0.25">
      <c r="B8" s="36">
        <v>3</v>
      </c>
      <c r="C8" s="37" t="s">
        <v>149</v>
      </c>
      <c r="D8" s="37" t="s">
        <v>146</v>
      </c>
      <c r="E8" s="37" t="s">
        <v>147</v>
      </c>
      <c r="F8" s="38">
        <v>525</v>
      </c>
      <c r="G8" s="38">
        <v>80</v>
      </c>
      <c r="H8" s="38">
        <v>82</v>
      </c>
      <c r="I8" s="38">
        <v>83</v>
      </c>
      <c r="J8" s="38">
        <v>100</v>
      </c>
      <c r="K8" s="38">
        <v>100</v>
      </c>
      <c r="L8" s="38">
        <v>80</v>
      </c>
      <c r="M8" s="38">
        <v>3</v>
      </c>
      <c r="N8" s="41" t="b">
        <v>0</v>
      </c>
    </row>
    <row r="9" spans="2:14" ht="15.75" hidden="1" customHeight="1" x14ac:dyDescent="0.25">
      <c r="B9" s="36">
        <v>4</v>
      </c>
      <c r="C9" s="37" t="s">
        <v>150</v>
      </c>
      <c r="D9" s="37" t="s">
        <v>151</v>
      </c>
      <c r="E9" s="1"/>
      <c r="F9" s="38">
        <v>309</v>
      </c>
      <c r="G9" s="38">
        <v>39</v>
      </c>
      <c r="H9" s="38">
        <v>52</v>
      </c>
      <c r="I9" s="38">
        <v>43</v>
      </c>
      <c r="J9" s="38">
        <v>60</v>
      </c>
      <c r="K9" s="38">
        <v>50</v>
      </c>
      <c r="L9" s="38">
        <v>65</v>
      </c>
      <c r="M9" s="38">
        <v>1</v>
      </c>
      <c r="N9" s="41" t="b">
        <v>0</v>
      </c>
    </row>
    <row r="10" spans="2:14" ht="15.75" hidden="1" customHeight="1" x14ac:dyDescent="0.25">
      <c r="B10" s="36">
        <v>5</v>
      </c>
      <c r="C10" s="37" t="s">
        <v>152</v>
      </c>
      <c r="D10" s="37" t="s">
        <v>151</v>
      </c>
      <c r="E10" s="1"/>
      <c r="F10" s="38">
        <v>405</v>
      </c>
      <c r="G10" s="38">
        <v>58</v>
      </c>
      <c r="H10" s="38">
        <v>64</v>
      </c>
      <c r="I10" s="38">
        <v>58</v>
      </c>
      <c r="J10" s="38">
        <v>80</v>
      </c>
      <c r="K10" s="38">
        <v>65</v>
      </c>
      <c r="L10" s="38">
        <v>80</v>
      </c>
      <c r="M10" s="38">
        <v>2</v>
      </c>
      <c r="N10" s="41" t="b">
        <v>0</v>
      </c>
    </row>
    <row r="11" spans="2:14" ht="15.75" hidden="1" customHeight="1" x14ac:dyDescent="0.25">
      <c r="B11" s="36">
        <v>6</v>
      </c>
      <c r="C11" s="37" t="s">
        <v>153</v>
      </c>
      <c r="D11" s="37" t="s">
        <v>151</v>
      </c>
      <c r="E11" s="37" t="s">
        <v>154</v>
      </c>
      <c r="F11" s="38">
        <v>534</v>
      </c>
      <c r="G11" s="38">
        <v>78</v>
      </c>
      <c r="H11" s="38">
        <v>84</v>
      </c>
      <c r="I11" s="38">
        <v>78</v>
      </c>
      <c r="J11" s="38">
        <v>109</v>
      </c>
      <c r="K11" s="38">
        <v>85</v>
      </c>
      <c r="L11" s="38">
        <v>100</v>
      </c>
      <c r="M11" s="38">
        <v>3</v>
      </c>
      <c r="N11" s="41" t="b">
        <v>0</v>
      </c>
    </row>
    <row r="12" spans="2:14" ht="15.75" hidden="1" customHeight="1" x14ac:dyDescent="0.25">
      <c r="B12" s="36">
        <v>7</v>
      </c>
      <c r="C12" s="37" t="s">
        <v>155</v>
      </c>
      <c r="D12" s="37" t="s">
        <v>156</v>
      </c>
      <c r="E12" s="1"/>
      <c r="F12" s="38">
        <v>314</v>
      </c>
      <c r="G12" s="38">
        <v>44</v>
      </c>
      <c r="H12" s="38">
        <v>48</v>
      </c>
      <c r="I12" s="38">
        <v>65</v>
      </c>
      <c r="J12" s="38">
        <v>50</v>
      </c>
      <c r="K12" s="38">
        <v>64</v>
      </c>
      <c r="L12" s="38">
        <v>43</v>
      </c>
      <c r="M12" s="38">
        <v>1</v>
      </c>
      <c r="N12" s="41" t="b">
        <v>0</v>
      </c>
    </row>
    <row r="13" spans="2:14" ht="15.75" hidden="1" customHeight="1" x14ac:dyDescent="0.25">
      <c r="B13" s="36">
        <v>8</v>
      </c>
      <c r="C13" s="37" t="s">
        <v>157</v>
      </c>
      <c r="D13" s="37" t="s">
        <v>156</v>
      </c>
      <c r="E13" s="1"/>
      <c r="F13" s="38">
        <v>405</v>
      </c>
      <c r="G13" s="38">
        <v>59</v>
      </c>
      <c r="H13" s="38">
        <v>63</v>
      </c>
      <c r="I13" s="38">
        <v>80</v>
      </c>
      <c r="J13" s="38">
        <v>65</v>
      </c>
      <c r="K13" s="38">
        <v>80</v>
      </c>
      <c r="L13" s="38">
        <v>58</v>
      </c>
      <c r="M13" s="38">
        <v>2</v>
      </c>
      <c r="N13" s="41" t="b">
        <v>0</v>
      </c>
    </row>
    <row r="14" spans="2:14" ht="15.75" hidden="1" customHeight="1" x14ac:dyDescent="0.25">
      <c r="B14" s="36">
        <v>9</v>
      </c>
      <c r="C14" s="37" t="s">
        <v>158</v>
      </c>
      <c r="D14" s="37" t="s">
        <v>156</v>
      </c>
      <c r="E14" s="1"/>
      <c r="F14" s="38">
        <v>530</v>
      </c>
      <c r="G14" s="38">
        <v>79</v>
      </c>
      <c r="H14" s="38">
        <v>83</v>
      </c>
      <c r="I14" s="38">
        <v>100</v>
      </c>
      <c r="J14" s="38">
        <v>85</v>
      </c>
      <c r="K14" s="38">
        <v>105</v>
      </c>
      <c r="L14" s="38">
        <v>78</v>
      </c>
      <c r="M14" s="38">
        <v>3</v>
      </c>
      <c r="N14" s="41" t="b">
        <v>0</v>
      </c>
    </row>
    <row r="15" spans="2:14" ht="15.75" hidden="1" customHeight="1" x14ac:dyDescent="0.25">
      <c r="B15" s="36">
        <v>10</v>
      </c>
      <c r="C15" s="37" t="s">
        <v>159</v>
      </c>
      <c r="D15" s="37" t="s">
        <v>160</v>
      </c>
      <c r="E15" s="1"/>
      <c r="F15" s="38">
        <v>195</v>
      </c>
      <c r="G15" s="38">
        <v>45</v>
      </c>
      <c r="H15" s="38">
        <v>30</v>
      </c>
      <c r="I15" s="38">
        <v>35</v>
      </c>
      <c r="J15" s="38">
        <v>20</v>
      </c>
      <c r="K15" s="38">
        <v>20</v>
      </c>
      <c r="L15" s="38">
        <v>45</v>
      </c>
      <c r="M15" s="38">
        <v>1</v>
      </c>
      <c r="N15" s="41" t="b">
        <v>0</v>
      </c>
    </row>
    <row r="16" spans="2:14" ht="15.75" hidden="1" customHeight="1" x14ac:dyDescent="0.25">
      <c r="B16" s="36">
        <v>11</v>
      </c>
      <c r="C16" s="37" t="s">
        <v>161</v>
      </c>
      <c r="D16" s="37" t="s">
        <v>160</v>
      </c>
      <c r="E16" s="1"/>
      <c r="F16" s="38">
        <v>205</v>
      </c>
      <c r="G16" s="38">
        <v>50</v>
      </c>
      <c r="H16" s="38">
        <v>20</v>
      </c>
      <c r="I16" s="38">
        <v>55</v>
      </c>
      <c r="J16" s="38">
        <v>25</v>
      </c>
      <c r="K16" s="38">
        <v>25</v>
      </c>
      <c r="L16" s="38">
        <v>30</v>
      </c>
      <c r="M16" s="38">
        <v>2</v>
      </c>
      <c r="N16" s="41" t="b">
        <v>0</v>
      </c>
    </row>
    <row r="17" spans="2:14" ht="15.75" hidden="1" customHeight="1" x14ac:dyDescent="0.25">
      <c r="B17" s="36">
        <v>12</v>
      </c>
      <c r="C17" s="37" t="s">
        <v>162</v>
      </c>
      <c r="D17" s="37" t="s">
        <v>160</v>
      </c>
      <c r="E17" s="37" t="s">
        <v>154</v>
      </c>
      <c r="F17" s="38">
        <v>395</v>
      </c>
      <c r="G17" s="38">
        <v>60</v>
      </c>
      <c r="H17" s="38">
        <v>45</v>
      </c>
      <c r="I17" s="38">
        <v>50</v>
      </c>
      <c r="J17" s="38">
        <v>90</v>
      </c>
      <c r="K17" s="38">
        <v>80</v>
      </c>
      <c r="L17" s="38">
        <v>70</v>
      </c>
      <c r="M17" s="38">
        <v>3</v>
      </c>
      <c r="N17" s="41" t="b">
        <v>0</v>
      </c>
    </row>
    <row r="18" spans="2:14" ht="15.75" customHeight="1" x14ac:dyDescent="0.25">
      <c r="B18" s="36">
        <v>13</v>
      </c>
      <c r="C18" s="37" t="s">
        <v>163</v>
      </c>
      <c r="D18" s="37" t="s">
        <v>160</v>
      </c>
      <c r="E18" s="37" t="s">
        <v>147</v>
      </c>
      <c r="F18" s="38">
        <v>195</v>
      </c>
      <c r="G18" s="38">
        <v>40</v>
      </c>
      <c r="H18" s="38">
        <v>35</v>
      </c>
      <c r="I18" s="38">
        <v>30</v>
      </c>
      <c r="J18" s="38">
        <v>20</v>
      </c>
      <c r="K18" s="38">
        <v>20</v>
      </c>
      <c r="L18" s="38">
        <v>50</v>
      </c>
      <c r="M18" s="38">
        <v>1</v>
      </c>
      <c r="N18" s="41" t="b">
        <v>0</v>
      </c>
    </row>
    <row r="19" spans="2:14" ht="15.75" hidden="1" customHeight="1" x14ac:dyDescent="0.25">
      <c r="B19" s="36">
        <v>14</v>
      </c>
      <c r="C19" s="37" t="s">
        <v>164</v>
      </c>
      <c r="D19" s="37" t="s">
        <v>160</v>
      </c>
      <c r="E19" s="37" t="s">
        <v>147</v>
      </c>
      <c r="F19" s="38">
        <v>205</v>
      </c>
      <c r="G19" s="38">
        <v>45</v>
      </c>
      <c r="H19" s="38">
        <v>25</v>
      </c>
      <c r="I19" s="38">
        <v>50</v>
      </c>
      <c r="J19" s="38">
        <v>25</v>
      </c>
      <c r="K19" s="38">
        <v>25</v>
      </c>
      <c r="L19" s="38">
        <v>35</v>
      </c>
      <c r="M19" s="38">
        <v>2</v>
      </c>
      <c r="N19" s="41" t="b">
        <v>0</v>
      </c>
    </row>
    <row r="20" spans="2:14" ht="15.75" customHeight="1" x14ac:dyDescent="0.25">
      <c r="B20" s="36">
        <v>15</v>
      </c>
      <c r="C20" s="37" t="s">
        <v>165</v>
      </c>
      <c r="D20" s="37" t="s">
        <v>160</v>
      </c>
      <c r="E20" s="37" t="s">
        <v>147</v>
      </c>
      <c r="F20" s="38">
        <v>395</v>
      </c>
      <c r="G20" s="38">
        <v>65</v>
      </c>
      <c r="H20" s="38">
        <v>90</v>
      </c>
      <c r="I20" s="38">
        <v>40</v>
      </c>
      <c r="J20" s="38">
        <v>45</v>
      </c>
      <c r="K20" s="38">
        <v>80</v>
      </c>
      <c r="L20" s="38">
        <v>75</v>
      </c>
      <c r="M20" s="38">
        <v>3</v>
      </c>
      <c r="N20" s="41" t="b">
        <v>0</v>
      </c>
    </row>
    <row r="21" spans="2:14" ht="15.75" hidden="1" customHeight="1" x14ac:dyDescent="0.25">
      <c r="B21" s="36">
        <v>16</v>
      </c>
      <c r="C21" s="37" t="s">
        <v>166</v>
      </c>
      <c r="D21" s="37" t="s">
        <v>167</v>
      </c>
      <c r="E21" s="37" t="s">
        <v>154</v>
      </c>
      <c r="F21" s="38">
        <v>251</v>
      </c>
      <c r="G21" s="38">
        <v>40</v>
      </c>
      <c r="H21" s="38">
        <v>45</v>
      </c>
      <c r="I21" s="38">
        <v>40</v>
      </c>
      <c r="J21" s="38">
        <v>35</v>
      </c>
      <c r="K21" s="38">
        <v>35</v>
      </c>
      <c r="L21" s="38">
        <v>56</v>
      </c>
      <c r="M21" s="38">
        <v>1</v>
      </c>
      <c r="N21" s="41" t="b">
        <v>0</v>
      </c>
    </row>
    <row r="22" spans="2:14" ht="15.75" hidden="1" customHeight="1" x14ac:dyDescent="0.25">
      <c r="B22" s="36">
        <v>17</v>
      </c>
      <c r="C22" s="37" t="s">
        <v>168</v>
      </c>
      <c r="D22" s="37" t="s">
        <v>167</v>
      </c>
      <c r="E22" s="37" t="s">
        <v>154</v>
      </c>
      <c r="F22" s="38">
        <v>349</v>
      </c>
      <c r="G22" s="38">
        <v>63</v>
      </c>
      <c r="H22" s="38">
        <v>60</v>
      </c>
      <c r="I22" s="38">
        <v>55</v>
      </c>
      <c r="J22" s="38">
        <v>50</v>
      </c>
      <c r="K22" s="38">
        <v>50</v>
      </c>
      <c r="L22" s="38">
        <v>71</v>
      </c>
      <c r="M22" s="38">
        <v>2</v>
      </c>
      <c r="N22" s="41" t="b">
        <v>0</v>
      </c>
    </row>
    <row r="23" spans="2:14" ht="15.75" hidden="1" customHeight="1" x14ac:dyDescent="0.25">
      <c r="B23" s="36">
        <v>18</v>
      </c>
      <c r="C23" s="37" t="s">
        <v>169</v>
      </c>
      <c r="D23" s="37" t="s">
        <v>167</v>
      </c>
      <c r="E23" s="37" t="s">
        <v>154</v>
      </c>
      <c r="F23" s="38">
        <v>479</v>
      </c>
      <c r="G23" s="38">
        <v>83</v>
      </c>
      <c r="H23" s="38">
        <v>80</v>
      </c>
      <c r="I23" s="38">
        <v>75</v>
      </c>
      <c r="J23" s="38">
        <v>70</v>
      </c>
      <c r="K23" s="38">
        <v>70</v>
      </c>
      <c r="L23" s="38">
        <v>101</v>
      </c>
      <c r="M23" s="38">
        <v>3</v>
      </c>
      <c r="N23" s="41" t="b">
        <v>0</v>
      </c>
    </row>
    <row r="24" spans="2:14" ht="15.75" hidden="1" customHeight="1" x14ac:dyDescent="0.25">
      <c r="B24" s="36">
        <v>19</v>
      </c>
      <c r="C24" s="37" t="s">
        <v>170</v>
      </c>
      <c r="D24" s="37" t="s">
        <v>167</v>
      </c>
      <c r="E24" s="1"/>
      <c r="F24" s="38">
        <v>253</v>
      </c>
      <c r="G24" s="38">
        <v>30</v>
      </c>
      <c r="H24" s="38">
        <v>56</v>
      </c>
      <c r="I24" s="38">
        <v>35</v>
      </c>
      <c r="J24" s="38">
        <v>25</v>
      </c>
      <c r="K24" s="38">
        <v>35</v>
      </c>
      <c r="L24" s="38">
        <v>72</v>
      </c>
      <c r="M24" s="38">
        <v>1</v>
      </c>
      <c r="N24" s="41" t="b">
        <v>0</v>
      </c>
    </row>
    <row r="25" spans="2:14" ht="15.75" hidden="1" customHeight="1" x14ac:dyDescent="0.25">
      <c r="B25" s="36">
        <v>20</v>
      </c>
      <c r="C25" s="37" t="s">
        <v>171</v>
      </c>
      <c r="D25" s="37" t="s">
        <v>167</v>
      </c>
      <c r="E25" s="1"/>
      <c r="F25" s="38">
        <v>413</v>
      </c>
      <c r="G25" s="38">
        <v>55</v>
      </c>
      <c r="H25" s="38">
        <v>81</v>
      </c>
      <c r="I25" s="38">
        <v>60</v>
      </c>
      <c r="J25" s="38">
        <v>50</v>
      </c>
      <c r="K25" s="38">
        <v>70</v>
      </c>
      <c r="L25" s="38">
        <v>97</v>
      </c>
      <c r="M25" s="38">
        <v>2</v>
      </c>
      <c r="N25" s="41" t="b">
        <v>0</v>
      </c>
    </row>
    <row r="26" spans="2:14" ht="15.75" hidden="1" customHeight="1" x14ac:dyDescent="0.25">
      <c r="B26" s="36">
        <v>21</v>
      </c>
      <c r="C26" s="37" t="s">
        <v>172</v>
      </c>
      <c r="D26" s="37" t="s">
        <v>167</v>
      </c>
      <c r="E26" s="37" t="s">
        <v>154</v>
      </c>
      <c r="F26" s="38">
        <v>262</v>
      </c>
      <c r="G26" s="38">
        <v>40</v>
      </c>
      <c r="H26" s="38">
        <v>60</v>
      </c>
      <c r="I26" s="38">
        <v>30</v>
      </c>
      <c r="J26" s="38">
        <v>31</v>
      </c>
      <c r="K26" s="38">
        <v>31</v>
      </c>
      <c r="L26" s="38">
        <v>70</v>
      </c>
      <c r="M26" s="38">
        <v>1</v>
      </c>
      <c r="N26" s="41" t="b">
        <v>0</v>
      </c>
    </row>
    <row r="27" spans="2:14" ht="15.75" hidden="1" customHeight="1" x14ac:dyDescent="0.25">
      <c r="B27" s="36">
        <v>22</v>
      </c>
      <c r="C27" s="37" t="s">
        <v>173</v>
      </c>
      <c r="D27" s="37" t="s">
        <v>167</v>
      </c>
      <c r="E27" s="37" t="s">
        <v>154</v>
      </c>
      <c r="F27" s="38">
        <v>442</v>
      </c>
      <c r="G27" s="38">
        <v>65</v>
      </c>
      <c r="H27" s="38">
        <v>90</v>
      </c>
      <c r="I27" s="38">
        <v>65</v>
      </c>
      <c r="J27" s="38">
        <v>61</v>
      </c>
      <c r="K27" s="38">
        <v>61</v>
      </c>
      <c r="L27" s="38">
        <v>100</v>
      </c>
      <c r="M27" s="38">
        <v>2</v>
      </c>
      <c r="N27" s="41" t="b">
        <v>0</v>
      </c>
    </row>
    <row r="28" spans="2:14" ht="15.75" hidden="1" customHeight="1" x14ac:dyDescent="0.25">
      <c r="B28" s="36">
        <v>23</v>
      </c>
      <c r="C28" s="37" t="s">
        <v>174</v>
      </c>
      <c r="D28" s="37" t="s">
        <v>147</v>
      </c>
      <c r="E28" s="1"/>
      <c r="F28" s="38">
        <v>288</v>
      </c>
      <c r="G28" s="38">
        <v>35</v>
      </c>
      <c r="H28" s="38">
        <v>60</v>
      </c>
      <c r="I28" s="38">
        <v>44</v>
      </c>
      <c r="J28" s="38">
        <v>40</v>
      </c>
      <c r="K28" s="38">
        <v>54</v>
      </c>
      <c r="L28" s="38">
        <v>55</v>
      </c>
      <c r="M28" s="38">
        <v>1</v>
      </c>
      <c r="N28" s="41" t="b">
        <v>0</v>
      </c>
    </row>
    <row r="29" spans="2:14" ht="15.75" hidden="1" customHeight="1" x14ac:dyDescent="0.25">
      <c r="B29" s="36">
        <v>24</v>
      </c>
      <c r="C29" s="37" t="s">
        <v>175</v>
      </c>
      <c r="D29" s="37" t="s">
        <v>147</v>
      </c>
      <c r="E29" s="1"/>
      <c r="F29" s="38">
        <v>438</v>
      </c>
      <c r="G29" s="38">
        <v>60</v>
      </c>
      <c r="H29" s="38">
        <v>85</v>
      </c>
      <c r="I29" s="38">
        <v>69</v>
      </c>
      <c r="J29" s="38">
        <v>65</v>
      </c>
      <c r="K29" s="38">
        <v>79</v>
      </c>
      <c r="L29" s="38">
        <v>80</v>
      </c>
      <c r="M29" s="38">
        <v>2</v>
      </c>
      <c r="N29" s="41" t="b">
        <v>0</v>
      </c>
    </row>
    <row r="30" spans="2:14" ht="15.75" hidden="1" customHeight="1" x14ac:dyDescent="0.25">
      <c r="B30" s="36">
        <v>25</v>
      </c>
      <c r="C30" s="37" t="s">
        <v>176</v>
      </c>
      <c r="D30" s="37" t="s">
        <v>177</v>
      </c>
      <c r="E30" s="1"/>
      <c r="F30" s="38">
        <v>320</v>
      </c>
      <c r="G30" s="38">
        <v>35</v>
      </c>
      <c r="H30" s="38">
        <v>55</v>
      </c>
      <c r="I30" s="38">
        <v>40</v>
      </c>
      <c r="J30" s="38">
        <v>50</v>
      </c>
      <c r="K30" s="38">
        <v>50</v>
      </c>
      <c r="L30" s="38">
        <v>90</v>
      </c>
      <c r="M30" s="38">
        <v>1</v>
      </c>
      <c r="N30" s="41" t="b">
        <v>0</v>
      </c>
    </row>
    <row r="31" spans="2:14" ht="15.75" hidden="1" customHeight="1" x14ac:dyDescent="0.25">
      <c r="B31" s="36">
        <v>26</v>
      </c>
      <c r="C31" s="37" t="s">
        <v>178</v>
      </c>
      <c r="D31" s="37" t="s">
        <v>177</v>
      </c>
      <c r="E31" s="1"/>
      <c r="F31" s="38">
        <v>485</v>
      </c>
      <c r="G31" s="38">
        <v>60</v>
      </c>
      <c r="H31" s="38">
        <v>90</v>
      </c>
      <c r="I31" s="38">
        <v>55</v>
      </c>
      <c r="J31" s="38">
        <v>90</v>
      </c>
      <c r="K31" s="38">
        <v>80</v>
      </c>
      <c r="L31" s="38">
        <v>110</v>
      </c>
      <c r="M31" s="38">
        <v>2</v>
      </c>
      <c r="N31" s="41" t="b">
        <v>0</v>
      </c>
    </row>
    <row r="32" spans="2:14" ht="15.75" hidden="1" customHeight="1" x14ac:dyDescent="0.25">
      <c r="B32" s="36">
        <v>27</v>
      </c>
      <c r="C32" s="37" t="s">
        <v>179</v>
      </c>
      <c r="D32" s="37" t="s">
        <v>180</v>
      </c>
      <c r="E32" s="1"/>
      <c r="F32" s="38">
        <v>300</v>
      </c>
      <c r="G32" s="38">
        <v>50</v>
      </c>
      <c r="H32" s="38">
        <v>75</v>
      </c>
      <c r="I32" s="38">
        <v>85</v>
      </c>
      <c r="J32" s="38">
        <v>20</v>
      </c>
      <c r="K32" s="38">
        <v>30</v>
      </c>
      <c r="L32" s="38">
        <v>40</v>
      </c>
      <c r="M32" s="38">
        <v>1</v>
      </c>
      <c r="N32" s="41" t="b">
        <v>0</v>
      </c>
    </row>
    <row r="33" spans="2:14" ht="15.75" hidden="1" customHeight="1" x14ac:dyDescent="0.25">
      <c r="B33" s="36">
        <v>28</v>
      </c>
      <c r="C33" s="37" t="s">
        <v>181</v>
      </c>
      <c r="D33" s="37" t="s">
        <v>180</v>
      </c>
      <c r="E33" s="1"/>
      <c r="F33" s="38">
        <v>450</v>
      </c>
      <c r="G33" s="38">
        <v>75</v>
      </c>
      <c r="H33" s="38">
        <v>100</v>
      </c>
      <c r="I33" s="38">
        <v>110</v>
      </c>
      <c r="J33" s="38">
        <v>45</v>
      </c>
      <c r="K33" s="38">
        <v>55</v>
      </c>
      <c r="L33" s="38">
        <v>65</v>
      </c>
      <c r="M33" s="38">
        <v>2</v>
      </c>
      <c r="N33" s="41" t="b">
        <v>0</v>
      </c>
    </row>
    <row r="34" spans="2:14" ht="15.75" hidden="1" customHeight="1" x14ac:dyDescent="0.25">
      <c r="B34" s="36">
        <v>29</v>
      </c>
      <c r="C34" s="37" t="s">
        <v>182</v>
      </c>
      <c r="D34" s="37" t="s">
        <v>147</v>
      </c>
      <c r="E34" s="1"/>
      <c r="F34" s="38">
        <v>275</v>
      </c>
      <c r="G34" s="38">
        <v>55</v>
      </c>
      <c r="H34" s="38">
        <v>47</v>
      </c>
      <c r="I34" s="38">
        <v>52</v>
      </c>
      <c r="J34" s="38">
        <v>40</v>
      </c>
      <c r="K34" s="38">
        <v>40</v>
      </c>
      <c r="L34" s="38">
        <v>41</v>
      </c>
      <c r="M34" s="38">
        <v>1</v>
      </c>
      <c r="N34" s="41" t="b">
        <v>0</v>
      </c>
    </row>
    <row r="35" spans="2:14" ht="15.75" hidden="1" customHeight="1" x14ac:dyDescent="0.25">
      <c r="B35" s="36">
        <v>30</v>
      </c>
      <c r="C35" s="37" t="s">
        <v>183</v>
      </c>
      <c r="D35" s="37" t="s">
        <v>147</v>
      </c>
      <c r="E35" s="1"/>
      <c r="F35" s="38">
        <v>365</v>
      </c>
      <c r="G35" s="38">
        <v>70</v>
      </c>
      <c r="H35" s="38">
        <v>62</v>
      </c>
      <c r="I35" s="38">
        <v>67</v>
      </c>
      <c r="J35" s="38">
        <v>55</v>
      </c>
      <c r="K35" s="38">
        <v>55</v>
      </c>
      <c r="L35" s="38">
        <v>56</v>
      </c>
      <c r="M35" s="38">
        <v>2</v>
      </c>
      <c r="N35" s="41" t="b">
        <v>0</v>
      </c>
    </row>
    <row r="36" spans="2:14" ht="15.75" hidden="1" customHeight="1" x14ac:dyDescent="0.25">
      <c r="B36" s="36">
        <v>31</v>
      </c>
      <c r="C36" s="37" t="s">
        <v>184</v>
      </c>
      <c r="D36" s="37" t="s">
        <v>147</v>
      </c>
      <c r="E36" s="37" t="s">
        <v>180</v>
      </c>
      <c r="F36" s="38">
        <v>505</v>
      </c>
      <c r="G36" s="38">
        <v>90</v>
      </c>
      <c r="H36" s="38">
        <v>92</v>
      </c>
      <c r="I36" s="38">
        <v>87</v>
      </c>
      <c r="J36" s="38">
        <v>75</v>
      </c>
      <c r="K36" s="38">
        <v>85</v>
      </c>
      <c r="L36" s="38">
        <v>76</v>
      </c>
      <c r="M36" s="38">
        <v>3</v>
      </c>
      <c r="N36" s="41" t="b">
        <v>0</v>
      </c>
    </row>
    <row r="37" spans="2:14" ht="15.75" hidden="1" customHeight="1" x14ac:dyDescent="0.25">
      <c r="B37" s="36">
        <v>32</v>
      </c>
      <c r="C37" s="37" t="s">
        <v>185</v>
      </c>
      <c r="D37" s="37" t="s">
        <v>147</v>
      </c>
      <c r="E37" s="1"/>
      <c r="F37" s="38">
        <v>273</v>
      </c>
      <c r="G37" s="38">
        <v>46</v>
      </c>
      <c r="H37" s="38">
        <v>57</v>
      </c>
      <c r="I37" s="38">
        <v>40</v>
      </c>
      <c r="J37" s="38">
        <v>40</v>
      </c>
      <c r="K37" s="38">
        <v>40</v>
      </c>
      <c r="L37" s="38">
        <v>50</v>
      </c>
      <c r="M37" s="38">
        <v>1</v>
      </c>
      <c r="N37" s="41" t="b">
        <v>0</v>
      </c>
    </row>
    <row r="38" spans="2:14" ht="15.75" hidden="1" customHeight="1" x14ac:dyDescent="0.25">
      <c r="B38" s="36">
        <v>33</v>
      </c>
      <c r="C38" s="37" t="s">
        <v>186</v>
      </c>
      <c r="D38" s="37" t="s">
        <v>147</v>
      </c>
      <c r="E38" s="1"/>
      <c r="F38" s="38">
        <v>365</v>
      </c>
      <c r="G38" s="38">
        <v>61</v>
      </c>
      <c r="H38" s="38">
        <v>72</v>
      </c>
      <c r="I38" s="38">
        <v>57</v>
      </c>
      <c r="J38" s="38">
        <v>55</v>
      </c>
      <c r="K38" s="38">
        <v>55</v>
      </c>
      <c r="L38" s="38">
        <v>65</v>
      </c>
      <c r="M38" s="38">
        <v>2</v>
      </c>
      <c r="N38" s="41" t="b">
        <v>0</v>
      </c>
    </row>
    <row r="39" spans="2:14" ht="15.75" hidden="1" customHeight="1" x14ac:dyDescent="0.25">
      <c r="B39" s="36">
        <v>34</v>
      </c>
      <c r="C39" s="37" t="s">
        <v>187</v>
      </c>
      <c r="D39" s="37" t="s">
        <v>147</v>
      </c>
      <c r="E39" s="37" t="s">
        <v>180</v>
      </c>
      <c r="F39" s="38">
        <v>505</v>
      </c>
      <c r="G39" s="38">
        <v>81</v>
      </c>
      <c r="H39" s="38">
        <v>102</v>
      </c>
      <c r="I39" s="38">
        <v>77</v>
      </c>
      <c r="J39" s="38">
        <v>85</v>
      </c>
      <c r="K39" s="38">
        <v>75</v>
      </c>
      <c r="L39" s="38">
        <v>85</v>
      </c>
      <c r="M39" s="38">
        <v>3</v>
      </c>
      <c r="N39" s="41" t="b">
        <v>0</v>
      </c>
    </row>
    <row r="40" spans="2:14" ht="15.75" hidden="1" customHeight="1" x14ac:dyDescent="0.25">
      <c r="B40" s="36">
        <v>35</v>
      </c>
      <c r="C40" s="37" t="s">
        <v>188</v>
      </c>
      <c r="D40" s="37" t="s">
        <v>189</v>
      </c>
      <c r="E40" s="1"/>
      <c r="F40" s="38">
        <v>323</v>
      </c>
      <c r="G40" s="38">
        <v>70</v>
      </c>
      <c r="H40" s="38">
        <v>45</v>
      </c>
      <c r="I40" s="38">
        <v>48</v>
      </c>
      <c r="J40" s="38">
        <v>60</v>
      </c>
      <c r="K40" s="38">
        <v>65</v>
      </c>
      <c r="L40" s="38">
        <v>35</v>
      </c>
      <c r="M40" s="38">
        <v>1</v>
      </c>
      <c r="N40" s="41" t="b">
        <v>0</v>
      </c>
    </row>
    <row r="41" spans="2:14" ht="15.75" hidden="1" customHeight="1" x14ac:dyDescent="0.25">
      <c r="B41" s="36">
        <v>36</v>
      </c>
      <c r="C41" s="37" t="s">
        <v>190</v>
      </c>
      <c r="D41" s="37" t="s">
        <v>189</v>
      </c>
      <c r="E41" s="1"/>
      <c r="F41" s="38">
        <v>483</v>
      </c>
      <c r="G41" s="38">
        <v>95</v>
      </c>
      <c r="H41" s="38">
        <v>70</v>
      </c>
      <c r="I41" s="38">
        <v>73</v>
      </c>
      <c r="J41" s="38">
        <v>95</v>
      </c>
      <c r="K41" s="38">
        <v>90</v>
      </c>
      <c r="L41" s="38">
        <v>60</v>
      </c>
      <c r="M41" s="38">
        <v>2</v>
      </c>
      <c r="N41" s="41" t="b">
        <v>0</v>
      </c>
    </row>
    <row r="42" spans="2:14" ht="15.75" hidden="1" customHeight="1" x14ac:dyDescent="0.25">
      <c r="B42" s="36">
        <v>37</v>
      </c>
      <c r="C42" s="37" t="s">
        <v>191</v>
      </c>
      <c r="D42" s="37" t="s">
        <v>151</v>
      </c>
      <c r="E42" s="1"/>
      <c r="F42" s="38">
        <v>299</v>
      </c>
      <c r="G42" s="38">
        <v>38</v>
      </c>
      <c r="H42" s="38">
        <v>41</v>
      </c>
      <c r="I42" s="38">
        <v>40</v>
      </c>
      <c r="J42" s="38">
        <v>50</v>
      </c>
      <c r="K42" s="38">
        <v>65</v>
      </c>
      <c r="L42" s="38">
        <v>65</v>
      </c>
      <c r="M42" s="38">
        <v>1</v>
      </c>
      <c r="N42" s="41" t="b">
        <v>0</v>
      </c>
    </row>
    <row r="43" spans="2:14" ht="15.75" hidden="1" customHeight="1" x14ac:dyDescent="0.25">
      <c r="B43" s="36">
        <v>38</v>
      </c>
      <c r="C43" s="37" t="s">
        <v>192</v>
      </c>
      <c r="D43" s="37" t="s">
        <v>151</v>
      </c>
      <c r="E43" s="1"/>
      <c r="F43" s="38">
        <v>505</v>
      </c>
      <c r="G43" s="38">
        <v>73</v>
      </c>
      <c r="H43" s="38">
        <v>76</v>
      </c>
      <c r="I43" s="38">
        <v>75</v>
      </c>
      <c r="J43" s="38">
        <v>81</v>
      </c>
      <c r="K43" s="38">
        <v>100</v>
      </c>
      <c r="L43" s="38">
        <v>100</v>
      </c>
      <c r="M43" s="38">
        <v>2</v>
      </c>
      <c r="N43" s="41" t="b">
        <v>0</v>
      </c>
    </row>
    <row r="44" spans="2:14" ht="15.75" hidden="1" customHeight="1" x14ac:dyDescent="0.25">
      <c r="B44" s="36">
        <v>39</v>
      </c>
      <c r="C44" s="37" t="s">
        <v>193</v>
      </c>
      <c r="D44" s="37" t="s">
        <v>167</v>
      </c>
      <c r="E44" s="37" t="s">
        <v>189</v>
      </c>
      <c r="F44" s="38">
        <v>270</v>
      </c>
      <c r="G44" s="38">
        <v>115</v>
      </c>
      <c r="H44" s="38">
        <v>45</v>
      </c>
      <c r="I44" s="38">
        <v>20</v>
      </c>
      <c r="J44" s="38">
        <v>45</v>
      </c>
      <c r="K44" s="38">
        <v>25</v>
      </c>
      <c r="L44" s="38">
        <v>20</v>
      </c>
      <c r="M44" s="38">
        <v>1</v>
      </c>
      <c r="N44" s="41" t="b">
        <v>0</v>
      </c>
    </row>
    <row r="45" spans="2:14" ht="15.75" hidden="1" customHeight="1" x14ac:dyDescent="0.25">
      <c r="B45" s="36">
        <v>40</v>
      </c>
      <c r="C45" s="37" t="s">
        <v>194</v>
      </c>
      <c r="D45" s="37" t="s">
        <v>167</v>
      </c>
      <c r="E45" s="37" t="s">
        <v>189</v>
      </c>
      <c r="F45" s="38">
        <v>435</v>
      </c>
      <c r="G45" s="38">
        <v>140</v>
      </c>
      <c r="H45" s="38">
        <v>70</v>
      </c>
      <c r="I45" s="38">
        <v>45</v>
      </c>
      <c r="J45" s="38">
        <v>85</v>
      </c>
      <c r="K45" s="38">
        <v>50</v>
      </c>
      <c r="L45" s="38">
        <v>45</v>
      </c>
      <c r="M45" s="38">
        <v>2</v>
      </c>
      <c r="N45" s="41" t="b">
        <v>0</v>
      </c>
    </row>
    <row r="46" spans="2:14" ht="15.75" hidden="1" customHeight="1" x14ac:dyDescent="0.25">
      <c r="B46" s="36">
        <v>41</v>
      </c>
      <c r="C46" s="37" t="s">
        <v>195</v>
      </c>
      <c r="D46" s="37" t="s">
        <v>147</v>
      </c>
      <c r="E46" s="37" t="s">
        <v>154</v>
      </c>
      <c r="F46" s="38">
        <v>245</v>
      </c>
      <c r="G46" s="38">
        <v>40</v>
      </c>
      <c r="H46" s="38">
        <v>45</v>
      </c>
      <c r="I46" s="38">
        <v>35</v>
      </c>
      <c r="J46" s="38">
        <v>30</v>
      </c>
      <c r="K46" s="38">
        <v>40</v>
      </c>
      <c r="L46" s="38">
        <v>55</v>
      </c>
      <c r="M46" s="38">
        <v>1</v>
      </c>
      <c r="N46" s="41" t="b">
        <v>0</v>
      </c>
    </row>
    <row r="47" spans="2:14" ht="15.75" hidden="1" customHeight="1" x14ac:dyDescent="0.25">
      <c r="B47" s="36">
        <v>42</v>
      </c>
      <c r="C47" s="37" t="s">
        <v>196</v>
      </c>
      <c r="D47" s="37" t="s">
        <v>147</v>
      </c>
      <c r="E47" s="37" t="s">
        <v>154</v>
      </c>
      <c r="F47" s="38">
        <v>455</v>
      </c>
      <c r="G47" s="38">
        <v>75</v>
      </c>
      <c r="H47" s="38">
        <v>80</v>
      </c>
      <c r="I47" s="38">
        <v>70</v>
      </c>
      <c r="J47" s="38">
        <v>65</v>
      </c>
      <c r="K47" s="38">
        <v>75</v>
      </c>
      <c r="L47" s="38">
        <v>90</v>
      </c>
      <c r="M47" s="38">
        <v>2</v>
      </c>
      <c r="N47" s="41" t="b">
        <v>0</v>
      </c>
    </row>
    <row r="48" spans="2:14" ht="15.75" customHeight="1" x14ac:dyDescent="0.25">
      <c r="B48" s="36">
        <v>43</v>
      </c>
      <c r="C48" s="37" t="s">
        <v>197</v>
      </c>
      <c r="D48" s="37" t="s">
        <v>146</v>
      </c>
      <c r="E48" s="37" t="s">
        <v>147</v>
      </c>
      <c r="F48" s="38">
        <v>320</v>
      </c>
      <c r="G48" s="38">
        <v>45</v>
      </c>
      <c r="H48" s="38">
        <v>50</v>
      </c>
      <c r="I48" s="38">
        <v>55</v>
      </c>
      <c r="J48" s="38">
        <v>75</v>
      </c>
      <c r="K48" s="38">
        <v>65</v>
      </c>
      <c r="L48" s="38">
        <v>30</v>
      </c>
      <c r="M48" s="38">
        <v>1</v>
      </c>
      <c r="N48" s="41" t="b">
        <v>0</v>
      </c>
    </row>
    <row r="49" spans="2:14" ht="15.75" hidden="1" customHeight="1" x14ac:dyDescent="0.25">
      <c r="B49" s="36">
        <v>44</v>
      </c>
      <c r="C49" s="37" t="s">
        <v>198</v>
      </c>
      <c r="D49" s="37" t="s">
        <v>146</v>
      </c>
      <c r="E49" s="37" t="s">
        <v>147</v>
      </c>
      <c r="F49" s="38">
        <v>395</v>
      </c>
      <c r="G49" s="38">
        <v>60</v>
      </c>
      <c r="H49" s="38">
        <v>65</v>
      </c>
      <c r="I49" s="38">
        <v>70</v>
      </c>
      <c r="J49" s="38">
        <v>85</v>
      </c>
      <c r="K49" s="38">
        <v>75</v>
      </c>
      <c r="L49" s="38">
        <v>40</v>
      </c>
      <c r="M49" s="38">
        <v>2</v>
      </c>
      <c r="N49" s="41" t="b">
        <v>0</v>
      </c>
    </row>
    <row r="50" spans="2:14" ht="15.75" customHeight="1" x14ac:dyDescent="0.25">
      <c r="B50" s="36">
        <v>45</v>
      </c>
      <c r="C50" s="37" t="s">
        <v>199</v>
      </c>
      <c r="D50" s="37" t="s">
        <v>146</v>
      </c>
      <c r="E50" s="37" t="s">
        <v>147</v>
      </c>
      <c r="F50" s="38">
        <v>490</v>
      </c>
      <c r="G50" s="38">
        <v>75</v>
      </c>
      <c r="H50" s="38">
        <v>80</v>
      </c>
      <c r="I50" s="38">
        <v>85</v>
      </c>
      <c r="J50" s="38">
        <v>110</v>
      </c>
      <c r="K50" s="38">
        <v>90</v>
      </c>
      <c r="L50" s="38">
        <v>50</v>
      </c>
      <c r="M50" s="38">
        <v>3</v>
      </c>
      <c r="N50" s="41" t="b">
        <v>0</v>
      </c>
    </row>
    <row r="51" spans="2:14" ht="15.75" hidden="1" customHeight="1" x14ac:dyDescent="0.25">
      <c r="B51" s="36">
        <v>46</v>
      </c>
      <c r="C51" s="37" t="s">
        <v>200</v>
      </c>
      <c r="D51" s="37" t="s">
        <v>160</v>
      </c>
      <c r="E51" s="37" t="s">
        <v>146</v>
      </c>
      <c r="F51" s="38">
        <v>285</v>
      </c>
      <c r="G51" s="38">
        <v>35</v>
      </c>
      <c r="H51" s="38">
        <v>70</v>
      </c>
      <c r="I51" s="38">
        <v>55</v>
      </c>
      <c r="J51" s="38">
        <v>45</v>
      </c>
      <c r="K51" s="38">
        <v>55</v>
      </c>
      <c r="L51" s="38">
        <v>25</v>
      </c>
      <c r="M51" s="38">
        <v>1</v>
      </c>
      <c r="N51" s="41" t="b">
        <v>0</v>
      </c>
    </row>
    <row r="52" spans="2:14" ht="15.75" hidden="1" customHeight="1" x14ac:dyDescent="0.25">
      <c r="B52" s="36">
        <v>47</v>
      </c>
      <c r="C52" s="37" t="s">
        <v>201</v>
      </c>
      <c r="D52" s="37" t="s">
        <v>160</v>
      </c>
      <c r="E52" s="37" t="s">
        <v>146</v>
      </c>
      <c r="F52" s="38">
        <v>405</v>
      </c>
      <c r="G52" s="38">
        <v>60</v>
      </c>
      <c r="H52" s="38">
        <v>95</v>
      </c>
      <c r="I52" s="38">
        <v>80</v>
      </c>
      <c r="J52" s="38">
        <v>60</v>
      </c>
      <c r="K52" s="38">
        <v>80</v>
      </c>
      <c r="L52" s="38">
        <v>30</v>
      </c>
      <c r="M52" s="38">
        <v>2</v>
      </c>
      <c r="N52" s="41" t="b">
        <v>0</v>
      </c>
    </row>
    <row r="53" spans="2:14" ht="15.75" customHeight="1" x14ac:dyDescent="0.25">
      <c r="B53" s="36">
        <v>48</v>
      </c>
      <c r="C53" s="37" t="s">
        <v>202</v>
      </c>
      <c r="D53" s="37" t="s">
        <v>160</v>
      </c>
      <c r="E53" s="37" t="s">
        <v>147</v>
      </c>
      <c r="F53" s="38">
        <v>305</v>
      </c>
      <c r="G53" s="38">
        <v>60</v>
      </c>
      <c r="H53" s="38">
        <v>55</v>
      </c>
      <c r="I53" s="38">
        <v>50</v>
      </c>
      <c r="J53" s="38">
        <v>40</v>
      </c>
      <c r="K53" s="38">
        <v>55</v>
      </c>
      <c r="L53" s="38">
        <v>45</v>
      </c>
      <c r="M53" s="38">
        <v>1</v>
      </c>
      <c r="N53" s="41" t="b">
        <v>0</v>
      </c>
    </row>
    <row r="54" spans="2:14" ht="15.75" hidden="1" customHeight="1" x14ac:dyDescent="0.25">
      <c r="B54" s="36">
        <v>49</v>
      </c>
      <c r="C54" s="37" t="s">
        <v>203</v>
      </c>
      <c r="D54" s="37" t="s">
        <v>160</v>
      </c>
      <c r="E54" s="37" t="s">
        <v>147</v>
      </c>
      <c r="F54" s="38">
        <v>450</v>
      </c>
      <c r="G54" s="38">
        <v>70</v>
      </c>
      <c r="H54" s="38">
        <v>65</v>
      </c>
      <c r="I54" s="38">
        <v>60</v>
      </c>
      <c r="J54" s="38">
        <v>90</v>
      </c>
      <c r="K54" s="38">
        <v>75</v>
      </c>
      <c r="L54" s="38">
        <v>90</v>
      </c>
      <c r="M54" s="38">
        <v>2</v>
      </c>
      <c r="N54" s="41" t="b">
        <v>0</v>
      </c>
    </row>
    <row r="55" spans="2:14" ht="15.75" hidden="1" customHeight="1" x14ac:dyDescent="0.25">
      <c r="B55" s="36">
        <v>50</v>
      </c>
      <c r="C55" s="37" t="s">
        <v>204</v>
      </c>
      <c r="D55" s="37" t="s">
        <v>180</v>
      </c>
      <c r="E55" s="1"/>
      <c r="F55" s="38">
        <v>265</v>
      </c>
      <c r="G55" s="38">
        <v>10</v>
      </c>
      <c r="H55" s="38">
        <v>55</v>
      </c>
      <c r="I55" s="38">
        <v>25</v>
      </c>
      <c r="J55" s="38">
        <v>35</v>
      </c>
      <c r="K55" s="38">
        <v>45</v>
      </c>
      <c r="L55" s="38">
        <v>95</v>
      </c>
      <c r="M55" s="38">
        <v>1</v>
      </c>
      <c r="N55" s="41" t="b">
        <v>0</v>
      </c>
    </row>
    <row r="56" spans="2:14" ht="15.75" hidden="1" customHeight="1" x14ac:dyDescent="0.25">
      <c r="B56" s="36">
        <v>51</v>
      </c>
      <c r="C56" s="37" t="s">
        <v>205</v>
      </c>
      <c r="D56" s="37" t="s">
        <v>180</v>
      </c>
      <c r="E56" s="1"/>
      <c r="F56" s="38">
        <v>405</v>
      </c>
      <c r="G56" s="38">
        <v>35</v>
      </c>
      <c r="H56" s="38">
        <v>80</v>
      </c>
      <c r="I56" s="38">
        <v>50</v>
      </c>
      <c r="J56" s="38">
        <v>50</v>
      </c>
      <c r="K56" s="38">
        <v>70</v>
      </c>
      <c r="L56" s="38">
        <v>120</v>
      </c>
      <c r="M56" s="38">
        <v>2</v>
      </c>
      <c r="N56" s="41" t="b">
        <v>0</v>
      </c>
    </row>
    <row r="57" spans="2:14" ht="15.75" hidden="1" customHeight="1" x14ac:dyDescent="0.25">
      <c r="B57" s="36">
        <v>52</v>
      </c>
      <c r="C57" s="37" t="s">
        <v>206</v>
      </c>
      <c r="D57" s="37" t="s">
        <v>167</v>
      </c>
      <c r="E57" s="1"/>
      <c r="F57" s="38">
        <v>290</v>
      </c>
      <c r="G57" s="38">
        <v>40</v>
      </c>
      <c r="H57" s="38">
        <v>45</v>
      </c>
      <c r="I57" s="38">
        <v>35</v>
      </c>
      <c r="J57" s="38">
        <v>40</v>
      </c>
      <c r="K57" s="38">
        <v>40</v>
      </c>
      <c r="L57" s="38">
        <v>90</v>
      </c>
      <c r="M57" s="38">
        <v>1</v>
      </c>
      <c r="N57" s="41" t="b">
        <v>0</v>
      </c>
    </row>
    <row r="58" spans="2:14" ht="15.75" hidden="1" customHeight="1" x14ac:dyDescent="0.25">
      <c r="B58" s="36">
        <v>53</v>
      </c>
      <c r="C58" s="37" t="s">
        <v>207</v>
      </c>
      <c r="D58" s="37" t="s">
        <v>167</v>
      </c>
      <c r="E58" s="1"/>
      <c r="F58" s="38">
        <v>440</v>
      </c>
      <c r="G58" s="38">
        <v>65</v>
      </c>
      <c r="H58" s="38">
        <v>70</v>
      </c>
      <c r="I58" s="38">
        <v>60</v>
      </c>
      <c r="J58" s="38">
        <v>65</v>
      </c>
      <c r="K58" s="38">
        <v>65</v>
      </c>
      <c r="L58" s="38">
        <v>115</v>
      </c>
      <c r="M58" s="38">
        <v>2</v>
      </c>
      <c r="N58" s="41" t="b">
        <v>0</v>
      </c>
    </row>
    <row r="59" spans="2:14" ht="15.75" hidden="1" customHeight="1" x14ac:dyDescent="0.25">
      <c r="B59" s="36">
        <v>54</v>
      </c>
      <c r="C59" s="37" t="s">
        <v>208</v>
      </c>
      <c r="D59" s="37" t="s">
        <v>156</v>
      </c>
      <c r="E59" s="1"/>
      <c r="F59" s="38">
        <v>320</v>
      </c>
      <c r="G59" s="38">
        <v>50</v>
      </c>
      <c r="H59" s="38">
        <v>52</v>
      </c>
      <c r="I59" s="38">
        <v>48</v>
      </c>
      <c r="J59" s="38">
        <v>65</v>
      </c>
      <c r="K59" s="38">
        <v>50</v>
      </c>
      <c r="L59" s="38">
        <v>55</v>
      </c>
      <c r="M59" s="38">
        <v>1</v>
      </c>
      <c r="N59" s="41" t="b">
        <v>0</v>
      </c>
    </row>
    <row r="60" spans="2:14" ht="15.75" hidden="1" customHeight="1" x14ac:dyDescent="0.25">
      <c r="B60" s="36">
        <v>55</v>
      </c>
      <c r="C60" s="37" t="s">
        <v>209</v>
      </c>
      <c r="D60" s="37" t="s">
        <v>156</v>
      </c>
      <c r="E60" s="1"/>
      <c r="F60" s="38">
        <v>500</v>
      </c>
      <c r="G60" s="38">
        <v>80</v>
      </c>
      <c r="H60" s="38">
        <v>82</v>
      </c>
      <c r="I60" s="38">
        <v>78</v>
      </c>
      <c r="J60" s="38">
        <v>95</v>
      </c>
      <c r="K60" s="38">
        <v>80</v>
      </c>
      <c r="L60" s="38">
        <v>85</v>
      </c>
      <c r="M60" s="38">
        <v>2</v>
      </c>
      <c r="N60" s="41" t="b">
        <v>0</v>
      </c>
    </row>
    <row r="61" spans="2:14" ht="15.75" hidden="1" customHeight="1" x14ac:dyDescent="0.25">
      <c r="B61" s="36">
        <v>56</v>
      </c>
      <c r="C61" s="37" t="s">
        <v>210</v>
      </c>
      <c r="D61" s="37" t="s">
        <v>211</v>
      </c>
      <c r="E61" s="1"/>
      <c r="F61" s="38">
        <v>305</v>
      </c>
      <c r="G61" s="38">
        <v>40</v>
      </c>
      <c r="H61" s="38">
        <v>80</v>
      </c>
      <c r="I61" s="38">
        <v>35</v>
      </c>
      <c r="J61" s="38">
        <v>35</v>
      </c>
      <c r="K61" s="38">
        <v>45</v>
      </c>
      <c r="L61" s="38">
        <v>70</v>
      </c>
      <c r="M61" s="38">
        <v>1</v>
      </c>
      <c r="N61" s="41" t="b">
        <v>0</v>
      </c>
    </row>
    <row r="62" spans="2:14" ht="15.75" hidden="1" customHeight="1" x14ac:dyDescent="0.25">
      <c r="B62" s="36">
        <v>57</v>
      </c>
      <c r="C62" s="37" t="s">
        <v>212</v>
      </c>
      <c r="D62" s="37" t="s">
        <v>211</v>
      </c>
      <c r="E62" s="1"/>
      <c r="F62" s="38">
        <v>455</v>
      </c>
      <c r="G62" s="38">
        <v>65</v>
      </c>
      <c r="H62" s="38">
        <v>105</v>
      </c>
      <c r="I62" s="38">
        <v>60</v>
      </c>
      <c r="J62" s="38">
        <v>60</v>
      </c>
      <c r="K62" s="38">
        <v>70</v>
      </c>
      <c r="L62" s="38">
        <v>95</v>
      </c>
      <c r="M62" s="38">
        <v>2</v>
      </c>
      <c r="N62" s="41" t="b">
        <v>0</v>
      </c>
    </row>
    <row r="63" spans="2:14" ht="15.75" hidden="1" customHeight="1" x14ac:dyDescent="0.25">
      <c r="B63" s="36">
        <v>58</v>
      </c>
      <c r="C63" s="37" t="s">
        <v>213</v>
      </c>
      <c r="D63" s="37" t="s">
        <v>151</v>
      </c>
      <c r="E63" s="1"/>
      <c r="F63" s="38">
        <v>350</v>
      </c>
      <c r="G63" s="38">
        <v>55</v>
      </c>
      <c r="H63" s="38">
        <v>70</v>
      </c>
      <c r="I63" s="38">
        <v>45</v>
      </c>
      <c r="J63" s="38">
        <v>70</v>
      </c>
      <c r="K63" s="38">
        <v>50</v>
      </c>
      <c r="L63" s="38">
        <v>60</v>
      </c>
      <c r="M63" s="38">
        <v>1</v>
      </c>
      <c r="N63" s="41" t="b">
        <v>0</v>
      </c>
    </row>
    <row r="64" spans="2:14" ht="15.75" hidden="1" customHeight="1" x14ac:dyDescent="0.25">
      <c r="B64" s="36">
        <v>59</v>
      </c>
      <c r="C64" s="37" t="s">
        <v>214</v>
      </c>
      <c r="D64" s="37" t="s">
        <v>151</v>
      </c>
      <c r="E64" s="1"/>
      <c r="F64" s="38">
        <v>555</v>
      </c>
      <c r="G64" s="38">
        <v>90</v>
      </c>
      <c r="H64" s="38">
        <v>110</v>
      </c>
      <c r="I64" s="38">
        <v>80</v>
      </c>
      <c r="J64" s="38">
        <v>100</v>
      </c>
      <c r="K64" s="38">
        <v>80</v>
      </c>
      <c r="L64" s="38">
        <v>95</v>
      </c>
      <c r="M64" s="38">
        <v>2</v>
      </c>
      <c r="N64" s="41" t="b">
        <v>0</v>
      </c>
    </row>
    <row r="65" spans="2:14" ht="15.75" hidden="1" customHeight="1" x14ac:dyDescent="0.25">
      <c r="B65" s="36">
        <v>60</v>
      </c>
      <c r="C65" s="37" t="s">
        <v>215</v>
      </c>
      <c r="D65" s="37" t="s">
        <v>156</v>
      </c>
      <c r="E65" s="1"/>
      <c r="F65" s="38">
        <v>300</v>
      </c>
      <c r="G65" s="38">
        <v>40</v>
      </c>
      <c r="H65" s="38">
        <v>50</v>
      </c>
      <c r="I65" s="38">
        <v>40</v>
      </c>
      <c r="J65" s="38">
        <v>40</v>
      </c>
      <c r="K65" s="38">
        <v>40</v>
      </c>
      <c r="L65" s="38">
        <v>90</v>
      </c>
      <c r="M65" s="38">
        <v>1</v>
      </c>
      <c r="N65" s="41" t="b">
        <v>0</v>
      </c>
    </row>
    <row r="66" spans="2:14" ht="15.75" hidden="1" customHeight="1" x14ac:dyDescent="0.25">
      <c r="B66" s="36">
        <v>61</v>
      </c>
      <c r="C66" s="37" t="s">
        <v>216</v>
      </c>
      <c r="D66" s="37" t="s">
        <v>156</v>
      </c>
      <c r="E66" s="1"/>
      <c r="F66" s="38">
        <v>385</v>
      </c>
      <c r="G66" s="38">
        <v>65</v>
      </c>
      <c r="H66" s="38">
        <v>65</v>
      </c>
      <c r="I66" s="38">
        <v>65</v>
      </c>
      <c r="J66" s="38">
        <v>50</v>
      </c>
      <c r="K66" s="38">
        <v>50</v>
      </c>
      <c r="L66" s="38">
        <v>90</v>
      </c>
      <c r="M66" s="38">
        <v>2</v>
      </c>
      <c r="N66" s="41" t="b">
        <v>0</v>
      </c>
    </row>
    <row r="67" spans="2:14" ht="15.75" hidden="1" customHeight="1" x14ac:dyDescent="0.25">
      <c r="B67" s="36">
        <v>62</v>
      </c>
      <c r="C67" s="37" t="s">
        <v>217</v>
      </c>
      <c r="D67" s="37" t="s">
        <v>156</v>
      </c>
      <c r="E67" s="37" t="s">
        <v>211</v>
      </c>
      <c r="F67" s="38">
        <v>510</v>
      </c>
      <c r="G67" s="38">
        <v>90</v>
      </c>
      <c r="H67" s="38">
        <v>95</v>
      </c>
      <c r="I67" s="38">
        <v>95</v>
      </c>
      <c r="J67" s="38">
        <v>70</v>
      </c>
      <c r="K67" s="38">
        <v>90</v>
      </c>
      <c r="L67" s="38">
        <v>70</v>
      </c>
      <c r="M67" s="38">
        <v>3</v>
      </c>
      <c r="N67" s="41" t="b">
        <v>0</v>
      </c>
    </row>
    <row r="68" spans="2:14" ht="15.75" hidden="1" customHeight="1" x14ac:dyDescent="0.25">
      <c r="B68" s="36">
        <v>63</v>
      </c>
      <c r="C68" s="37" t="s">
        <v>218</v>
      </c>
      <c r="D68" s="37" t="s">
        <v>219</v>
      </c>
      <c r="E68" s="1"/>
      <c r="F68" s="38">
        <v>310</v>
      </c>
      <c r="G68" s="38">
        <v>25</v>
      </c>
      <c r="H68" s="38">
        <v>20</v>
      </c>
      <c r="I68" s="38">
        <v>15</v>
      </c>
      <c r="J68" s="38">
        <v>105</v>
      </c>
      <c r="K68" s="38">
        <v>55</v>
      </c>
      <c r="L68" s="38">
        <v>90</v>
      </c>
      <c r="M68" s="38">
        <v>1</v>
      </c>
      <c r="N68" s="41" t="b">
        <v>0</v>
      </c>
    </row>
    <row r="69" spans="2:14" ht="15.75" hidden="1" customHeight="1" x14ac:dyDescent="0.25">
      <c r="B69" s="36">
        <v>64</v>
      </c>
      <c r="C69" s="37" t="s">
        <v>220</v>
      </c>
      <c r="D69" s="37" t="s">
        <v>219</v>
      </c>
      <c r="E69" s="1"/>
      <c r="F69" s="38">
        <v>400</v>
      </c>
      <c r="G69" s="38">
        <v>40</v>
      </c>
      <c r="H69" s="38">
        <v>35</v>
      </c>
      <c r="I69" s="38">
        <v>30</v>
      </c>
      <c r="J69" s="38">
        <v>120</v>
      </c>
      <c r="K69" s="38">
        <v>70</v>
      </c>
      <c r="L69" s="38">
        <v>105</v>
      </c>
      <c r="M69" s="38">
        <v>2</v>
      </c>
      <c r="N69" s="41" t="b">
        <v>0</v>
      </c>
    </row>
    <row r="70" spans="2:14" ht="15.75" hidden="1" customHeight="1" x14ac:dyDescent="0.25">
      <c r="B70" s="36">
        <v>65</v>
      </c>
      <c r="C70" s="37" t="s">
        <v>221</v>
      </c>
      <c r="D70" s="37" t="s">
        <v>219</v>
      </c>
      <c r="E70" s="1"/>
      <c r="F70" s="38">
        <v>500</v>
      </c>
      <c r="G70" s="38">
        <v>55</v>
      </c>
      <c r="H70" s="38">
        <v>50</v>
      </c>
      <c r="I70" s="38">
        <v>45</v>
      </c>
      <c r="J70" s="38">
        <v>135</v>
      </c>
      <c r="K70" s="38">
        <v>95</v>
      </c>
      <c r="L70" s="38">
        <v>120</v>
      </c>
      <c r="M70" s="38">
        <v>3</v>
      </c>
      <c r="N70" s="41" t="b">
        <v>0</v>
      </c>
    </row>
    <row r="71" spans="2:14" ht="15.75" hidden="1" customHeight="1" x14ac:dyDescent="0.25">
      <c r="B71" s="36">
        <v>66</v>
      </c>
      <c r="C71" s="37" t="s">
        <v>222</v>
      </c>
      <c r="D71" s="37" t="s">
        <v>211</v>
      </c>
      <c r="E71" s="1"/>
      <c r="F71" s="38">
        <v>305</v>
      </c>
      <c r="G71" s="38">
        <v>70</v>
      </c>
      <c r="H71" s="38">
        <v>80</v>
      </c>
      <c r="I71" s="38">
        <v>50</v>
      </c>
      <c r="J71" s="38">
        <v>35</v>
      </c>
      <c r="K71" s="38">
        <v>35</v>
      </c>
      <c r="L71" s="38">
        <v>35</v>
      </c>
      <c r="M71" s="38">
        <v>1</v>
      </c>
      <c r="N71" s="41" t="b">
        <v>0</v>
      </c>
    </row>
    <row r="72" spans="2:14" ht="15.75" hidden="1" customHeight="1" x14ac:dyDescent="0.25">
      <c r="B72" s="36">
        <v>67</v>
      </c>
      <c r="C72" s="37" t="s">
        <v>223</v>
      </c>
      <c r="D72" s="37" t="s">
        <v>211</v>
      </c>
      <c r="E72" s="1"/>
      <c r="F72" s="38">
        <v>405</v>
      </c>
      <c r="G72" s="38">
        <v>80</v>
      </c>
      <c r="H72" s="38">
        <v>100</v>
      </c>
      <c r="I72" s="38">
        <v>70</v>
      </c>
      <c r="J72" s="38">
        <v>50</v>
      </c>
      <c r="K72" s="38">
        <v>60</v>
      </c>
      <c r="L72" s="38">
        <v>45</v>
      </c>
      <c r="M72" s="38">
        <v>2</v>
      </c>
      <c r="N72" s="41" t="b">
        <v>0</v>
      </c>
    </row>
    <row r="73" spans="2:14" ht="15.75" hidden="1" customHeight="1" x14ac:dyDescent="0.25">
      <c r="B73" s="36">
        <v>68</v>
      </c>
      <c r="C73" s="37" t="s">
        <v>224</v>
      </c>
      <c r="D73" s="37" t="s">
        <v>211</v>
      </c>
      <c r="E73" s="1"/>
      <c r="F73" s="38">
        <v>505</v>
      </c>
      <c r="G73" s="38">
        <v>90</v>
      </c>
      <c r="H73" s="38">
        <v>130</v>
      </c>
      <c r="I73" s="38">
        <v>80</v>
      </c>
      <c r="J73" s="38">
        <v>65</v>
      </c>
      <c r="K73" s="38">
        <v>85</v>
      </c>
      <c r="L73" s="38">
        <v>55</v>
      </c>
      <c r="M73" s="38">
        <v>3</v>
      </c>
      <c r="N73" s="41" t="b">
        <v>0</v>
      </c>
    </row>
    <row r="74" spans="2:14" ht="15.75" customHeight="1" x14ac:dyDescent="0.25">
      <c r="B74" s="36">
        <v>69</v>
      </c>
      <c r="C74" s="37" t="s">
        <v>225</v>
      </c>
      <c r="D74" s="37" t="s">
        <v>146</v>
      </c>
      <c r="E74" s="37" t="s">
        <v>147</v>
      </c>
      <c r="F74" s="38">
        <v>300</v>
      </c>
      <c r="G74" s="38">
        <v>50</v>
      </c>
      <c r="H74" s="38">
        <v>75</v>
      </c>
      <c r="I74" s="38">
        <v>35</v>
      </c>
      <c r="J74" s="38">
        <v>70</v>
      </c>
      <c r="K74" s="38">
        <v>30</v>
      </c>
      <c r="L74" s="38">
        <v>40</v>
      </c>
      <c r="M74" s="38">
        <v>1</v>
      </c>
      <c r="N74" s="41" t="b">
        <v>0</v>
      </c>
    </row>
    <row r="75" spans="2:14" ht="15.75" hidden="1" customHeight="1" x14ac:dyDescent="0.25">
      <c r="B75" s="36">
        <v>70</v>
      </c>
      <c r="C75" s="37" t="s">
        <v>226</v>
      </c>
      <c r="D75" s="37" t="s">
        <v>146</v>
      </c>
      <c r="E75" s="37" t="s">
        <v>147</v>
      </c>
      <c r="F75" s="38">
        <v>390</v>
      </c>
      <c r="G75" s="38">
        <v>65</v>
      </c>
      <c r="H75" s="38">
        <v>90</v>
      </c>
      <c r="I75" s="38">
        <v>50</v>
      </c>
      <c r="J75" s="38">
        <v>85</v>
      </c>
      <c r="K75" s="38">
        <v>45</v>
      </c>
      <c r="L75" s="38">
        <v>55</v>
      </c>
      <c r="M75" s="38">
        <v>2</v>
      </c>
      <c r="N75" s="41" t="b">
        <v>0</v>
      </c>
    </row>
    <row r="76" spans="2:14" ht="15.75" customHeight="1" x14ac:dyDescent="0.25">
      <c r="B76" s="36">
        <v>71</v>
      </c>
      <c r="C76" s="37" t="s">
        <v>227</v>
      </c>
      <c r="D76" s="37" t="s">
        <v>146</v>
      </c>
      <c r="E76" s="37" t="s">
        <v>147</v>
      </c>
      <c r="F76" s="38">
        <v>490</v>
      </c>
      <c r="G76" s="38">
        <v>80</v>
      </c>
      <c r="H76" s="38">
        <v>105</v>
      </c>
      <c r="I76" s="38">
        <v>65</v>
      </c>
      <c r="J76" s="38">
        <v>100</v>
      </c>
      <c r="K76" s="38">
        <v>70</v>
      </c>
      <c r="L76" s="38">
        <v>70</v>
      </c>
      <c r="M76" s="38">
        <v>3</v>
      </c>
      <c r="N76" s="41" t="b">
        <v>0</v>
      </c>
    </row>
    <row r="77" spans="2:14" ht="15.75" customHeight="1" x14ac:dyDescent="0.25">
      <c r="B77" s="36">
        <v>72</v>
      </c>
      <c r="C77" s="37" t="s">
        <v>228</v>
      </c>
      <c r="D77" s="37" t="s">
        <v>156</v>
      </c>
      <c r="E77" s="37" t="s">
        <v>147</v>
      </c>
      <c r="F77" s="38">
        <v>335</v>
      </c>
      <c r="G77" s="38">
        <v>40</v>
      </c>
      <c r="H77" s="38">
        <v>40</v>
      </c>
      <c r="I77" s="38">
        <v>35</v>
      </c>
      <c r="J77" s="38">
        <v>50</v>
      </c>
      <c r="K77" s="38">
        <v>100</v>
      </c>
      <c r="L77" s="38">
        <v>70</v>
      </c>
      <c r="M77" s="38">
        <v>1</v>
      </c>
      <c r="N77" s="41" t="b">
        <v>0</v>
      </c>
    </row>
    <row r="78" spans="2:14" ht="15.75" hidden="1" customHeight="1" x14ac:dyDescent="0.25">
      <c r="B78" s="36">
        <v>73</v>
      </c>
      <c r="C78" s="37" t="s">
        <v>229</v>
      </c>
      <c r="D78" s="37" t="s">
        <v>156</v>
      </c>
      <c r="E78" s="37" t="s">
        <v>147</v>
      </c>
      <c r="F78" s="38">
        <v>515</v>
      </c>
      <c r="G78" s="38">
        <v>80</v>
      </c>
      <c r="H78" s="38">
        <v>70</v>
      </c>
      <c r="I78" s="38">
        <v>65</v>
      </c>
      <c r="J78" s="38">
        <v>80</v>
      </c>
      <c r="K78" s="38">
        <v>120</v>
      </c>
      <c r="L78" s="38">
        <v>100</v>
      </c>
      <c r="M78" s="38">
        <v>2</v>
      </c>
      <c r="N78" s="41" t="b">
        <v>0</v>
      </c>
    </row>
    <row r="79" spans="2:14" ht="15.75" hidden="1" customHeight="1" x14ac:dyDescent="0.25">
      <c r="B79" s="36">
        <v>74</v>
      </c>
      <c r="C79" s="37" t="s">
        <v>230</v>
      </c>
      <c r="D79" s="37" t="s">
        <v>231</v>
      </c>
      <c r="E79" s="37" t="s">
        <v>180</v>
      </c>
      <c r="F79" s="38">
        <v>300</v>
      </c>
      <c r="G79" s="38">
        <v>40</v>
      </c>
      <c r="H79" s="38">
        <v>80</v>
      </c>
      <c r="I79" s="38">
        <v>100</v>
      </c>
      <c r="J79" s="38">
        <v>30</v>
      </c>
      <c r="K79" s="38">
        <v>30</v>
      </c>
      <c r="L79" s="38">
        <v>20</v>
      </c>
      <c r="M79" s="38">
        <v>1</v>
      </c>
      <c r="N79" s="41" t="b">
        <v>0</v>
      </c>
    </row>
    <row r="80" spans="2:14" ht="15.75" hidden="1" customHeight="1" x14ac:dyDescent="0.25">
      <c r="B80" s="36">
        <v>75</v>
      </c>
      <c r="C80" s="37" t="s">
        <v>232</v>
      </c>
      <c r="D80" s="37" t="s">
        <v>231</v>
      </c>
      <c r="E80" s="37" t="s">
        <v>180</v>
      </c>
      <c r="F80" s="38">
        <v>390</v>
      </c>
      <c r="G80" s="38">
        <v>55</v>
      </c>
      <c r="H80" s="38">
        <v>95</v>
      </c>
      <c r="I80" s="38">
        <v>115</v>
      </c>
      <c r="J80" s="38">
        <v>45</v>
      </c>
      <c r="K80" s="38">
        <v>45</v>
      </c>
      <c r="L80" s="38">
        <v>35</v>
      </c>
      <c r="M80" s="38">
        <v>2</v>
      </c>
      <c r="N80" s="41" t="b">
        <v>0</v>
      </c>
    </row>
    <row r="81" spans="2:14" ht="15.75" hidden="1" customHeight="1" x14ac:dyDescent="0.25">
      <c r="B81" s="36">
        <v>76</v>
      </c>
      <c r="C81" s="37" t="s">
        <v>233</v>
      </c>
      <c r="D81" s="37" t="s">
        <v>231</v>
      </c>
      <c r="E81" s="37" t="s">
        <v>180</v>
      </c>
      <c r="F81" s="38">
        <v>495</v>
      </c>
      <c r="G81" s="38">
        <v>80</v>
      </c>
      <c r="H81" s="38">
        <v>120</v>
      </c>
      <c r="I81" s="38">
        <v>130</v>
      </c>
      <c r="J81" s="38">
        <v>55</v>
      </c>
      <c r="K81" s="38">
        <v>65</v>
      </c>
      <c r="L81" s="38">
        <v>45</v>
      </c>
      <c r="M81" s="38">
        <v>3</v>
      </c>
      <c r="N81" s="41" t="b">
        <v>0</v>
      </c>
    </row>
    <row r="82" spans="2:14" ht="15.75" hidden="1" customHeight="1" x14ac:dyDescent="0.25">
      <c r="B82" s="36">
        <v>77</v>
      </c>
      <c r="C82" s="37" t="s">
        <v>234</v>
      </c>
      <c r="D82" s="37" t="s">
        <v>151</v>
      </c>
      <c r="E82" s="1"/>
      <c r="F82" s="38">
        <v>410</v>
      </c>
      <c r="G82" s="38">
        <v>50</v>
      </c>
      <c r="H82" s="38">
        <v>85</v>
      </c>
      <c r="I82" s="38">
        <v>55</v>
      </c>
      <c r="J82" s="38">
        <v>65</v>
      </c>
      <c r="K82" s="38">
        <v>65</v>
      </c>
      <c r="L82" s="38">
        <v>90</v>
      </c>
      <c r="M82" s="38">
        <v>1</v>
      </c>
      <c r="N82" s="41" t="b">
        <v>0</v>
      </c>
    </row>
    <row r="83" spans="2:14" ht="15.75" hidden="1" customHeight="1" x14ac:dyDescent="0.25">
      <c r="B83" s="36">
        <v>78</v>
      </c>
      <c r="C83" s="37" t="s">
        <v>235</v>
      </c>
      <c r="D83" s="37" t="s">
        <v>151</v>
      </c>
      <c r="E83" s="1"/>
      <c r="F83" s="38">
        <v>500</v>
      </c>
      <c r="G83" s="38">
        <v>65</v>
      </c>
      <c r="H83" s="38">
        <v>100</v>
      </c>
      <c r="I83" s="38">
        <v>70</v>
      </c>
      <c r="J83" s="38">
        <v>80</v>
      </c>
      <c r="K83" s="38">
        <v>80</v>
      </c>
      <c r="L83" s="38">
        <v>105</v>
      </c>
      <c r="M83" s="38">
        <v>2</v>
      </c>
      <c r="N83" s="41" t="b">
        <v>0</v>
      </c>
    </row>
    <row r="84" spans="2:14" ht="15.75" hidden="1" customHeight="1" x14ac:dyDescent="0.25">
      <c r="B84" s="36">
        <v>79</v>
      </c>
      <c r="C84" s="37" t="s">
        <v>236</v>
      </c>
      <c r="D84" s="37" t="s">
        <v>156</v>
      </c>
      <c r="E84" s="37" t="s">
        <v>219</v>
      </c>
      <c r="F84" s="38">
        <v>315</v>
      </c>
      <c r="G84" s="38">
        <v>90</v>
      </c>
      <c r="H84" s="38">
        <v>65</v>
      </c>
      <c r="I84" s="38">
        <v>65</v>
      </c>
      <c r="J84" s="38">
        <v>40</v>
      </c>
      <c r="K84" s="38">
        <v>40</v>
      </c>
      <c r="L84" s="38">
        <v>15</v>
      </c>
      <c r="M84" s="38">
        <v>1</v>
      </c>
      <c r="N84" s="41" t="b">
        <v>0</v>
      </c>
    </row>
    <row r="85" spans="2:14" ht="15.75" hidden="1" customHeight="1" x14ac:dyDescent="0.25">
      <c r="B85" s="36">
        <v>80</v>
      </c>
      <c r="C85" s="37" t="s">
        <v>237</v>
      </c>
      <c r="D85" s="37" t="s">
        <v>156</v>
      </c>
      <c r="E85" s="37" t="s">
        <v>219</v>
      </c>
      <c r="F85" s="38">
        <v>490</v>
      </c>
      <c r="G85" s="38">
        <v>95</v>
      </c>
      <c r="H85" s="38">
        <v>75</v>
      </c>
      <c r="I85" s="38">
        <v>110</v>
      </c>
      <c r="J85" s="38">
        <v>100</v>
      </c>
      <c r="K85" s="38">
        <v>80</v>
      </c>
      <c r="L85" s="38">
        <v>30</v>
      </c>
      <c r="M85" s="38">
        <v>2</v>
      </c>
      <c r="N85" s="41" t="b">
        <v>0</v>
      </c>
    </row>
    <row r="86" spans="2:14" ht="15.75" hidden="1" customHeight="1" x14ac:dyDescent="0.25">
      <c r="B86" s="36">
        <v>81</v>
      </c>
      <c r="C86" s="37" t="s">
        <v>238</v>
      </c>
      <c r="D86" s="37" t="s">
        <v>177</v>
      </c>
      <c r="E86" s="37" t="s">
        <v>239</v>
      </c>
      <c r="F86" s="38">
        <v>325</v>
      </c>
      <c r="G86" s="38">
        <v>25</v>
      </c>
      <c r="H86" s="38">
        <v>35</v>
      </c>
      <c r="I86" s="38">
        <v>70</v>
      </c>
      <c r="J86" s="38">
        <v>95</v>
      </c>
      <c r="K86" s="38">
        <v>55</v>
      </c>
      <c r="L86" s="38">
        <v>45</v>
      </c>
      <c r="M86" s="38">
        <v>1</v>
      </c>
      <c r="N86" s="41" t="b">
        <v>0</v>
      </c>
    </row>
    <row r="87" spans="2:14" ht="15.75" hidden="1" customHeight="1" x14ac:dyDescent="0.25">
      <c r="B87" s="36">
        <v>82</v>
      </c>
      <c r="C87" s="37" t="s">
        <v>240</v>
      </c>
      <c r="D87" s="37" t="s">
        <v>177</v>
      </c>
      <c r="E87" s="37" t="s">
        <v>239</v>
      </c>
      <c r="F87" s="38">
        <v>465</v>
      </c>
      <c r="G87" s="38">
        <v>50</v>
      </c>
      <c r="H87" s="38">
        <v>60</v>
      </c>
      <c r="I87" s="38">
        <v>95</v>
      </c>
      <c r="J87" s="38">
        <v>120</v>
      </c>
      <c r="K87" s="38">
        <v>70</v>
      </c>
      <c r="L87" s="38">
        <v>70</v>
      </c>
      <c r="M87" s="38">
        <v>2</v>
      </c>
      <c r="N87" s="41" t="b">
        <v>0</v>
      </c>
    </row>
    <row r="88" spans="2:14" ht="15.75" hidden="1" customHeight="1" x14ac:dyDescent="0.25">
      <c r="B88" s="36">
        <v>83</v>
      </c>
      <c r="C88" s="37" t="s">
        <v>241</v>
      </c>
      <c r="D88" s="37" t="s">
        <v>167</v>
      </c>
      <c r="E88" s="37" t="s">
        <v>154</v>
      </c>
      <c r="F88" s="38">
        <v>352</v>
      </c>
      <c r="G88" s="38">
        <v>52</v>
      </c>
      <c r="H88" s="38">
        <v>65</v>
      </c>
      <c r="I88" s="38">
        <v>55</v>
      </c>
      <c r="J88" s="38">
        <v>58</v>
      </c>
      <c r="K88" s="38">
        <v>62</v>
      </c>
      <c r="L88" s="38">
        <v>60</v>
      </c>
      <c r="M88" s="38">
        <v>1</v>
      </c>
      <c r="N88" s="41" t="b">
        <v>0</v>
      </c>
    </row>
    <row r="89" spans="2:14" ht="15.75" hidden="1" customHeight="1" x14ac:dyDescent="0.25">
      <c r="B89" s="36">
        <v>84</v>
      </c>
      <c r="C89" s="37" t="s">
        <v>242</v>
      </c>
      <c r="D89" s="37" t="s">
        <v>167</v>
      </c>
      <c r="E89" s="37" t="s">
        <v>154</v>
      </c>
      <c r="F89" s="38">
        <v>310</v>
      </c>
      <c r="G89" s="38">
        <v>35</v>
      </c>
      <c r="H89" s="38">
        <v>85</v>
      </c>
      <c r="I89" s="38">
        <v>45</v>
      </c>
      <c r="J89" s="38">
        <v>35</v>
      </c>
      <c r="K89" s="38">
        <v>35</v>
      </c>
      <c r="L89" s="38">
        <v>75</v>
      </c>
      <c r="M89" s="38">
        <v>1</v>
      </c>
      <c r="N89" s="41" t="b">
        <v>0</v>
      </c>
    </row>
    <row r="90" spans="2:14" ht="15.75" hidden="1" customHeight="1" x14ac:dyDescent="0.25">
      <c r="B90" s="36">
        <v>85</v>
      </c>
      <c r="C90" s="37" t="s">
        <v>243</v>
      </c>
      <c r="D90" s="37" t="s">
        <v>167</v>
      </c>
      <c r="E90" s="37" t="s">
        <v>154</v>
      </c>
      <c r="F90" s="38">
        <v>460</v>
      </c>
      <c r="G90" s="38">
        <v>60</v>
      </c>
      <c r="H90" s="38">
        <v>110</v>
      </c>
      <c r="I90" s="38">
        <v>70</v>
      </c>
      <c r="J90" s="38">
        <v>60</v>
      </c>
      <c r="K90" s="38">
        <v>60</v>
      </c>
      <c r="L90" s="38">
        <v>100</v>
      </c>
      <c r="M90" s="38">
        <v>2</v>
      </c>
      <c r="N90" s="41" t="b">
        <v>0</v>
      </c>
    </row>
    <row r="91" spans="2:14" ht="15.75" hidden="1" customHeight="1" x14ac:dyDescent="0.25">
      <c r="B91" s="36">
        <v>86</v>
      </c>
      <c r="C91" s="37" t="s">
        <v>244</v>
      </c>
      <c r="D91" s="37" t="s">
        <v>156</v>
      </c>
      <c r="E91" s="1"/>
      <c r="F91" s="38">
        <v>325</v>
      </c>
      <c r="G91" s="38">
        <v>65</v>
      </c>
      <c r="H91" s="38">
        <v>45</v>
      </c>
      <c r="I91" s="38">
        <v>55</v>
      </c>
      <c r="J91" s="38">
        <v>45</v>
      </c>
      <c r="K91" s="38">
        <v>70</v>
      </c>
      <c r="L91" s="38">
        <v>45</v>
      </c>
      <c r="M91" s="38">
        <v>1</v>
      </c>
      <c r="N91" s="41" t="b">
        <v>0</v>
      </c>
    </row>
    <row r="92" spans="2:14" ht="15.75" hidden="1" customHeight="1" x14ac:dyDescent="0.25">
      <c r="B92" s="36">
        <v>87</v>
      </c>
      <c r="C92" s="37" t="s">
        <v>245</v>
      </c>
      <c r="D92" s="37" t="s">
        <v>156</v>
      </c>
      <c r="E92" s="37" t="s">
        <v>246</v>
      </c>
      <c r="F92" s="38">
        <v>475</v>
      </c>
      <c r="G92" s="38">
        <v>90</v>
      </c>
      <c r="H92" s="38">
        <v>70</v>
      </c>
      <c r="I92" s="38">
        <v>80</v>
      </c>
      <c r="J92" s="38">
        <v>70</v>
      </c>
      <c r="K92" s="38">
        <v>95</v>
      </c>
      <c r="L92" s="38">
        <v>70</v>
      </c>
      <c r="M92" s="38">
        <v>2</v>
      </c>
      <c r="N92" s="41" t="b">
        <v>0</v>
      </c>
    </row>
    <row r="93" spans="2:14" ht="15.75" hidden="1" customHeight="1" x14ac:dyDescent="0.25">
      <c r="B93" s="36">
        <v>88</v>
      </c>
      <c r="C93" s="37" t="s">
        <v>247</v>
      </c>
      <c r="D93" s="37" t="s">
        <v>147</v>
      </c>
      <c r="E93" s="1"/>
      <c r="F93" s="38">
        <v>325</v>
      </c>
      <c r="G93" s="38">
        <v>80</v>
      </c>
      <c r="H93" s="38">
        <v>80</v>
      </c>
      <c r="I93" s="38">
        <v>50</v>
      </c>
      <c r="J93" s="38">
        <v>40</v>
      </c>
      <c r="K93" s="38">
        <v>50</v>
      </c>
      <c r="L93" s="38">
        <v>25</v>
      </c>
      <c r="M93" s="38">
        <v>1</v>
      </c>
      <c r="N93" s="41" t="b">
        <v>0</v>
      </c>
    </row>
    <row r="94" spans="2:14" ht="15.75" hidden="1" customHeight="1" x14ac:dyDescent="0.25">
      <c r="B94" s="36">
        <v>89</v>
      </c>
      <c r="C94" s="37" t="s">
        <v>248</v>
      </c>
      <c r="D94" s="37" t="s">
        <v>147</v>
      </c>
      <c r="E94" s="1"/>
      <c r="F94" s="38">
        <v>500</v>
      </c>
      <c r="G94" s="38">
        <v>105</v>
      </c>
      <c r="H94" s="38">
        <v>105</v>
      </c>
      <c r="I94" s="38">
        <v>75</v>
      </c>
      <c r="J94" s="38">
        <v>65</v>
      </c>
      <c r="K94" s="38">
        <v>100</v>
      </c>
      <c r="L94" s="38">
        <v>50</v>
      </c>
      <c r="M94" s="38">
        <v>2</v>
      </c>
      <c r="N94" s="41" t="b">
        <v>0</v>
      </c>
    </row>
    <row r="95" spans="2:14" ht="15.75" hidden="1" customHeight="1" x14ac:dyDescent="0.25">
      <c r="B95" s="36">
        <v>90</v>
      </c>
      <c r="C95" s="37" t="s">
        <v>249</v>
      </c>
      <c r="D95" s="37" t="s">
        <v>156</v>
      </c>
      <c r="E95" s="1"/>
      <c r="F95" s="38">
        <v>305</v>
      </c>
      <c r="G95" s="38">
        <v>30</v>
      </c>
      <c r="H95" s="38">
        <v>65</v>
      </c>
      <c r="I95" s="38">
        <v>100</v>
      </c>
      <c r="J95" s="38">
        <v>45</v>
      </c>
      <c r="K95" s="38">
        <v>25</v>
      </c>
      <c r="L95" s="38">
        <v>40</v>
      </c>
      <c r="M95" s="38">
        <v>1</v>
      </c>
      <c r="N95" s="41" t="b">
        <v>0</v>
      </c>
    </row>
    <row r="96" spans="2:14" ht="15.75" hidden="1" customHeight="1" x14ac:dyDescent="0.25">
      <c r="B96" s="36">
        <v>91</v>
      </c>
      <c r="C96" s="37" t="s">
        <v>250</v>
      </c>
      <c r="D96" s="37" t="s">
        <v>156</v>
      </c>
      <c r="E96" s="37" t="s">
        <v>246</v>
      </c>
      <c r="F96" s="38">
        <v>525</v>
      </c>
      <c r="G96" s="38">
        <v>50</v>
      </c>
      <c r="H96" s="38">
        <v>95</v>
      </c>
      <c r="I96" s="38">
        <v>180</v>
      </c>
      <c r="J96" s="38">
        <v>85</v>
      </c>
      <c r="K96" s="38">
        <v>45</v>
      </c>
      <c r="L96" s="38">
        <v>70</v>
      </c>
      <c r="M96" s="38">
        <v>2</v>
      </c>
      <c r="N96" s="41" t="b">
        <v>0</v>
      </c>
    </row>
    <row r="97" spans="2:14" ht="15.75" customHeight="1" x14ac:dyDescent="0.25">
      <c r="B97" s="36">
        <v>92</v>
      </c>
      <c r="C97" s="37" t="s">
        <v>251</v>
      </c>
      <c r="D97" s="37" t="s">
        <v>252</v>
      </c>
      <c r="E97" s="37" t="s">
        <v>147</v>
      </c>
      <c r="F97" s="38">
        <v>310</v>
      </c>
      <c r="G97" s="38">
        <v>30</v>
      </c>
      <c r="H97" s="38">
        <v>35</v>
      </c>
      <c r="I97" s="38">
        <v>30</v>
      </c>
      <c r="J97" s="38">
        <v>100</v>
      </c>
      <c r="K97" s="38">
        <v>35</v>
      </c>
      <c r="L97" s="38">
        <v>80</v>
      </c>
      <c r="M97" s="38">
        <v>1</v>
      </c>
      <c r="N97" s="41" t="b">
        <v>0</v>
      </c>
    </row>
    <row r="98" spans="2:14" ht="15.75" hidden="1" customHeight="1" x14ac:dyDescent="0.25">
      <c r="B98" s="36">
        <v>93</v>
      </c>
      <c r="C98" s="37" t="s">
        <v>253</v>
      </c>
      <c r="D98" s="37" t="s">
        <v>252</v>
      </c>
      <c r="E98" s="37" t="s">
        <v>147</v>
      </c>
      <c r="F98" s="38">
        <v>405</v>
      </c>
      <c r="G98" s="38">
        <v>45</v>
      </c>
      <c r="H98" s="38">
        <v>50</v>
      </c>
      <c r="I98" s="38">
        <v>45</v>
      </c>
      <c r="J98" s="38">
        <v>115</v>
      </c>
      <c r="K98" s="38">
        <v>55</v>
      </c>
      <c r="L98" s="38">
        <v>95</v>
      </c>
      <c r="M98" s="38">
        <v>2</v>
      </c>
      <c r="N98" s="41" t="b">
        <v>0</v>
      </c>
    </row>
    <row r="99" spans="2:14" ht="15.75" customHeight="1" x14ac:dyDescent="0.25">
      <c r="B99" s="36">
        <v>94</v>
      </c>
      <c r="C99" s="37" t="s">
        <v>254</v>
      </c>
      <c r="D99" s="37" t="s">
        <v>252</v>
      </c>
      <c r="E99" s="37" t="s">
        <v>147</v>
      </c>
      <c r="F99" s="38">
        <v>500</v>
      </c>
      <c r="G99" s="38">
        <v>60</v>
      </c>
      <c r="H99" s="38">
        <v>65</v>
      </c>
      <c r="I99" s="38">
        <v>60</v>
      </c>
      <c r="J99" s="38">
        <v>130</v>
      </c>
      <c r="K99" s="38">
        <v>75</v>
      </c>
      <c r="L99" s="38">
        <v>110</v>
      </c>
      <c r="M99" s="38">
        <v>3</v>
      </c>
      <c r="N99" s="41" t="b">
        <v>0</v>
      </c>
    </row>
    <row r="100" spans="2:14" ht="15.75" hidden="1" customHeight="1" x14ac:dyDescent="0.25">
      <c r="B100" s="36">
        <v>95</v>
      </c>
      <c r="C100" s="37" t="s">
        <v>255</v>
      </c>
      <c r="D100" s="37" t="s">
        <v>231</v>
      </c>
      <c r="E100" s="37" t="s">
        <v>180</v>
      </c>
      <c r="F100" s="38">
        <v>385</v>
      </c>
      <c r="G100" s="38">
        <v>35</v>
      </c>
      <c r="H100" s="38">
        <v>45</v>
      </c>
      <c r="I100" s="38">
        <v>160</v>
      </c>
      <c r="J100" s="38">
        <v>30</v>
      </c>
      <c r="K100" s="38">
        <v>45</v>
      </c>
      <c r="L100" s="38">
        <v>70</v>
      </c>
      <c r="M100" s="38">
        <v>1</v>
      </c>
      <c r="N100" s="41" t="b">
        <v>0</v>
      </c>
    </row>
    <row r="101" spans="2:14" ht="15.75" hidden="1" customHeight="1" x14ac:dyDescent="0.25">
      <c r="B101" s="36">
        <v>96</v>
      </c>
      <c r="C101" s="37" t="s">
        <v>256</v>
      </c>
      <c r="D101" s="37" t="s">
        <v>219</v>
      </c>
      <c r="E101" s="1"/>
      <c r="F101" s="38">
        <v>328</v>
      </c>
      <c r="G101" s="38">
        <v>60</v>
      </c>
      <c r="H101" s="38">
        <v>48</v>
      </c>
      <c r="I101" s="38">
        <v>45</v>
      </c>
      <c r="J101" s="38">
        <v>43</v>
      </c>
      <c r="K101" s="38">
        <v>90</v>
      </c>
      <c r="L101" s="38">
        <v>42</v>
      </c>
      <c r="M101" s="38">
        <v>1</v>
      </c>
      <c r="N101" s="41" t="b">
        <v>0</v>
      </c>
    </row>
    <row r="102" spans="2:14" ht="15.75" hidden="1" customHeight="1" x14ac:dyDescent="0.25">
      <c r="B102" s="36">
        <v>97</v>
      </c>
      <c r="C102" s="37" t="s">
        <v>257</v>
      </c>
      <c r="D102" s="37" t="s">
        <v>219</v>
      </c>
      <c r="E102" s="1"/>
      <c r="F102" s="38">
        <v>483</v>
      </c>
      <c r="G102" s="38">
        <v>85</v>
      </c>
      <c r="H102" s="38">
        <v>73</v>
      </c>
      <c r="I102" s="38">
        <v>70</v>
      </c>
      <c r="J102" s="38">
        <v>73</v>
      </c>
      <c r="K102" s="38">
        <v>115</v>
      </c>
      <c r="L102" s="38">
        <v>67</v>
      </c>
      <c r="M102" s="38">
        <v>2</v>
      </c>
      <c r="N102" s="41" t="b">
        <v>0</v>
      </c>
    </row>
    <row r="103" spans="2:14" ht="15.75" hidden="1" customHeight="1" x14ac:dyDescent="0.25">
      <c r="B103" s="36">
        <v>98</v>
      </c>
      <c r="C103" s="37" t="s">
        <v>258</v>
      </c>
      <c r="D103" s="37" t="s">
        <v>156</v>
      </c>
      <c r="E103" s="1"/>
      <c r="F103" s="38">
        <v>325</v>
      </c>
      <c r="G103" s="38">
        <v>30</v>
      </c>
      <c r="H103" s="38">
        <v>105</v>
      </c>
      <c r="I103" s="38">
        <v>90</v>
      </c>
      <c r="J103" s="38">
        <v>25</v>
      </c>
      <c r="K103" s="38">
        <v>25</v>
      </c>
      <c r="L103" s="38">
        <v>50</v>
      </c>
      <c r="M103" s="38">
        <v>1</v>
      </c>
      <c r="N103" s="41" t="b">
        <v>0</v>
      </c>
    </row>
    <row r="104" spans="2:14" ht="15.75" hidden="1" customHeight="1" x14ac:dyDescent="0.25">
      <c r="B104" s="36">
        <v>99</v>
      </c>
      <c r="C104" s="37" t="s">
        <v>259</v>
      </c>
      <c r="D104" s="37" t="s">
        <v>156</v>
      </c>
      <c r="E104" s="1"/>
      <c r="F104" s="38">
        <v>475</v>
      </c>
      <c r="G104" s="38">
        <v>55</v>
      </c>
      <c r="H104" s="38">
        <v>130</v>
      </c>
      <c r="I104" s="38">
        <v>115</v>
      </c>
      <c r="J104" s="38">
        <v>50</v>
      </c>
      <c r="K104" s="38">
        <v>50</v>
      </c>
      <c r="L104" s="38">
        <v>75</v>
      </c>
      <c r="M104" s="38">
        <v>2</v>
      </c>
      <c r="N104" s="41" t="b">
        <v>0</v>
      </c>
    </row>
    <row r="105" spans="2:14" ht="15.75" hidden="1" customHeight="1" x14ac:dyDescent="0.25">
      <c r="B105" s="36">
        <v>100</v>
      </c>
      <c r="C105" s="37" t="s">
        <v>260</v>
      </c>
      <c r="D105" s="37" t="s">
        <v>177</v>
      </c>
      <c r="E105" s="1"/>
      <c r="F105" s="38">
        <v>330</v>
      </c>
      <c r="G105" s="38">
        <v>40</v>
      </c>
      <c r="H105" s="38">
        <v>30</v>
      </c>
      <c r="I105" s="38">
        <v>50</v>
      </c>
      <c r="J105" s="38">
        <v>55</v>
      </c>
      <c r="K105" s="38">
        <v>55</v>
      </c>
      <c r="L105" s="38">
        <v>100</v>
      </c>
      <c r="M105" s="38">
        <v>1</v>
      </c>
      <c r="N105" s="41" t="b">
        <v>0</v>
      </c>
    </row>
    <row r="106" spans="2:14" ht="15.75" hidden="1" customHeight="1" x14ac:dyDescent="0.25">
      <c r="B106" s="36">
        <v>101</v>
      </c>
      <c r="C106" s="37" t="s">
        <v>261</v>
      </c>
      <c r="D106" s="37" t="s">
        <v>177</v>
      </c>
      <c r="E106" s="1"/>
      <c r="F106" s="38">
        <v>480</v>
      </c>
      <c r="G106" s="38">
        <v>60</v>
      </c>
      <c r="H106" s="38">
        <v>50</v>
      </c>
      <c r="I106" s="38">
        <v>70</v>
      </c>
      <c r="J106" s="38">
        <v>80</v>
      </c>
      <c r="K106" s="38">
        <v>80</v>
      </c>
      <c r="L106" s="38">
        <v>140</v>
      </c>
      <c r="M106" s="38">
        <v>2</v>
      </c>
      <c r="N106" s="41" t="b">
        <v>0</v>
      </c>
    </row>
    <row r="107" spans="2:14" ht="15.75" hidden="1" customHeight="1" x14ac:dyDescent="0.25">
      <c r="B107" s="36">
        <v>102</v>
      </c>
      <c r="C107" s="37" t="s">
        <v>262</v>
      </c>
      <c r="D107" s="37" t="s">
        <v>146</v>
      </c>
      <c r="E107" s="37" t="s">
        <v>219</v>
      </c>
      <c r="F107" s="38">
        <v>325</v>
      </c>
      <c r="G107" s="38">
        <v>60</v>
      </c>
      <c r="H107" s="38">
        <v>40</v>
      </c>
      <c r="I107" s="38">
        <v>80</v>
      </c>
      <c r="J107" s="38">
        <v>60</v>
      </c>
      <c r="K107" s="38">
        <v>45</v>
      </c>
      <c r="L107" s="38">
        <v>40</v>
      </c>
      <c r="M107" s="38">
        <v>1</v>
      </c>
      <c r="N107" s="41" t="b">
        <v>0</v>
      </c>
    </row>
    <row r="108" spans="2:14" ht="15.75" hidden="1" customHeight="1" x14ac:dyDescent="0.25">
      <c r="B108" s="36">
        <v>103</v>
      </c>
      <c r="C108" s="37" t="s">
        <v>263</v>
      </c>
      <c r="D108" s="37" t="s">
        <v>146</v>
      </c>
      <c r="E108" s="37" t="s">
        <v>219</v>
      </c>
      <c r="F108" s="38">
        <v>520</v>
      </c>
      <c r="G108" s="38">
        <v>95</v>
      </c>
      <c r="H108" s="38">
        <v>95</v>
      </c>
      <c r="I108" s="38">
        <v>85</v>
      </c>
      <c r="J108" s="38">
        <v>125</v>
      </c>
      <c r="K108" s="38">
        <v>65</v>
      </c>
      <c r="L108" s="38">
        <v>55</v>
      </c>
      <c r="M108" s="38">
        <v>2</v>
      </c>
      <c r="N108" s="41" t="b">
        <v>0</v>
      </c>
    </row>
    <row r="109" spans="2:14" ht="15.75" hidden="1" customHeight="1" x14ac:dyDescent="0.25">
      <c r="B109" s="36">
        <v>104</v>
      </c>
      <c r="C109" s="37" t="s">
        <v>264</v>
      </c>
      <c r="D109" s="37" t="s">
        <v>180</v>
      </c>
      <c r="E109" s="1"/>
      <c r="F109" s="38">
        <v>320</v>
      </c>
      <c r="G109" s="38">
        <v>50</v>
      </c>
      <c r="H109" s="38">
        <v>50</v>
      </c>
      <c r="I109" s="38">
        <v>95</v>
      </c>
      <c r="J109" s="38">
        <v>40</v>
      </c>
      <c r="K109" s="38">
        <v>50</v>
      </c>
      <c r="L109" s="38">
        <v>35</v>
      </c>
      <c r="M109" s="38">
        <v>1</v>
      </c>
      <c r="N109" s="41" t="b">
        <v>0</v>
      </c>
    </row>
    <row r="110" spans="2:14" ht="15.75" hidden="1" customHeight="1" x14ac:dyDescent="0.25">
      <c r="B110" s="36">
        <v>105</v>
      </c>
      <c r="C110" s="37" t="s">
        <v>265</v>
      </c>
      <c r="D110" s="37" t="s">
        <v>180</v>
      </c>
      <c r="E110" s="1"/>
      <c r="F110" s="38">
        <v>425</v>
      </c>
      <c r="G110" s="38">
        <v>60</v>
      </c>
      <c r="H110" s="38">
        <v>80</v>
      </c>
      <c r="I110" s="38">
        <v>110</v>
      </c>
      <c r="J110" s="38">
        <v>50</v>
      </c>
      <c r="K110" s="38">
        <v>80</v>
      </c>
      <c r="L110" s="38">
        <v>45</v>
      </c>
      <c r="M110" s="38">
        <v>2</v>
      </c>
      <c r="N110" s="41" t="b">
        <v>0</v>
      </c>
    </row>
    <row r="111" spans="2:14" ht="15.75" hidden="1" customHeight="1" x14ac:dyDescent="0.25">
      <c r="B111" s="36">
        <v>106</v>
      </c>
      <c r="C111" s="37" t="s">
        <v>266</v>
      </c>
      <c r="D111" s="37" t="s">
        <v>211</v>
      </c>
      <c r="E111" s="1"/>
      <c r="F111" s="38">
        <v>455</v>
      </c>
      <c r="G111" s="38">
        <v>50</v>
      </c>
      <c r="H111" s="38">
        <v>120</v>
      </c>
      <c r="I111" s="38">
        <v>53</v>
      </c>
      <c r="J111" s="38">
        <v>35</v>
      </c>
      <c r="K111" s="38">
        <v>110</v>
      </c>
      <c r="L111" s="38">
        <v>87</v>
      </c>
      <c r="M111" s="38">
        <v>1</v>
      </c>
      <c r="N111" s="41" t="b">
        <v>0</v>
      </c>
    </row>
    <row r="112" spans="2:14" ht="15.75" hidden="1" customHeight="1" x14ac:dyDescent="0.25">
      <c r="B112" s="36">
        <v>107</v>
      </c>
      <c r="C112" s="37" t="s">
        <v>267</v>
      </c>
      <c r="D112" s="37" t="s">
        <v>211</v>
      </c>
      <c r="E112" s="1"/>
      <c r="F112" s="38">
        <v>455</v>
      </c>
      <c r="G112" s="38">
        <v>50</v>
      </c>
      <c r="H112" s="38">
        <v>105</v>
      </c>
      <c r="I112" s="38">
        <v>79</v>
      </c>
      <c r="J112" s="38">
        <v>35</v>
      </c>
      <c r="K112" s="38">
        <v>110</v>
      </c>
      <c r="L112" s="38">
        <v>76</v>
      </c>
      <c r="M112" s="38">
        <v>1</v>
      </c>
      <c r="N112" s="41" t="b">
        <v>0</v>
      </c>
    </row>
    <row r="113" spans="2:14" ht="15.75" hidden="1" customHeight="1" x14ac:dyDescent="0.25">
      <c r="B113" s="36">
        <v>108</v>
      </c>
      <c r="C113" s="37" t="s">
        <v>268</v>
      </c>
      <c r="D113" s="37" t="s">
        <v>167</v>
      </c>
      <c r="E113" s="1"/>
      <c r="F113" s="38">
        <v>385</v>
      </c>
      <c r="G113" s="38">
        <v>90</v>
      </c>
      <c r="H113" s="38">
        <v>55</v>
      </c>
      <c r="I113" s="38">
        <v>75</v>
      </c>
      <c r="J113" s="38">
        <v>60</v>
      </c>
      <c r="K113" s="38">
        <v>75</v>
      </c>
      <c r="L113" s="38">
        <v>30</v>
      </c>
      <c r="M113" s="38">
        <v>1</v>
      </c>
      <c r="N113" s="41" t="b">
        <v>0</v>
      </c>
    </row>
    <row r="114" spans="2:14" ht="15.75" hidden="1" customHeight="1" x14ac:dyDescent="0.25">
      <c r="B114" s="36">
        <v>109</v>
      </c>
      <c r="C114" s="37" t="s">
        <v>269</v>
      </c>
      <c r="D114" s="37" t="s">
        <v>147</v>
      </c>
      <c r="E114" s="1"/>
      <c r="F114" s="38">
        <v>340</v>
      </c>
      <c r="G114" s="38">
        <v>40</v>
      </c>
      <c r="H114" s="38">
        <v>65</v>
      </c>
      <c r="I114" s="38">
        <v>95</v>
      </c>
      <c r="J114" s="38">
        <v>60</v>
      </c>
      <c r="K114" s="38">
        <v>45</v>
      </c>
      <c r="L114" s="38">
        <v>35</v>
      </c>
      <c r="M114" s="38">
        <v>1</v>
      </c>
      <c r="N114" s="41" t="b">
        <v>0</v>
      </c>
    </row>
    <row r="115" spans="2:14" ht="15.75" hidden="1" customHeight="1" x14ac:dyDescent="0.25">
      <c r="B115" s="36">
        <v>110</v>
      </c>
      <c r="C115" s="37" t="s">
        <v>270</v>
      </c>
      <c r="D115" s="37" t="s">
        <v>147</v>
      </c>
      <c r="E115" s="1"/>
      <c r="F115" s="38">
        <v>490</v>
      </c>
      <c r="G115" s="38">
        <v>65</v>
      </c>
      <c r="H115" s="38">
        <v>90</v>
      </c>
      <c r="I115" s="38">
        <v>120</v>
      </c>
      <c r="J115" s="38">
        <v>85</v>
      </c>
      <c r="K115" s="38">
        <v>70</v>
      </c>
      <c r="L115" s="38">
        <v>60</v>
      </c>
      <c r="M115" s="38">
        <v>2</v>
      </c>
      <c r="N115" s="41" t="b">
        <v>0</v>
      </c>
    </row>
    <row r="116" spans="2:14" ht="15.75" hidden="1" customHeight="1" x14ac:dyDescent="0.25">
      <c r="B116" s="36">
        <v>111</v>
      </c>
      <c r="C116" s="37" t="s">
        <v>271</v>
      </c>
      <c r="D116" s="37" t="s">
        <v>180</v>
      </c>
      <c r="E116" s="37" t="s">
        <v>231</v>
      </c>
      <c r="F116" s="38">
        <v>345</v>
      </c>
      <c r="G116" s="38">
        <v>80</v>
      </c>
      <c r="H116" s="38">
        <v>85</v>
      </c>
      <c r="I116" s="38">
        <v>95</v>
      </c>
      <c r="J116" s="38">
        <v>30</v>
      </c>
      <c r="K116" s="38">
        <v>30</v>
      </c>
      <c r="L116" s="38">
        <v>25</v>
      </c>
      <c r="M116" s="38">
        <v>1</v>
      </c>
      <c r="N116" s="41" t="b">
        <v>0</v>
      </c>
    </row>
    <row r="117" spans="2:14" ht="15.75" hidden="1" customHeight="1" x14ac:dyDescent="0.25">
      <c r="B117" s="36">
        <v>112</v>
      </c>
      <c r="C117" s="37" t="s">
        <v>272</v>
      </c>
      <c r="D117" s="37" t="s">
        <v>180</v>
      </c>
      <c r="E117" s="37" t="s">
        <v>231</v>
      </c>
      <c r="F117" s="38">
        <v>485</v>
      </c>
      <c r="G117" s="38">
        <v>105</v>
      </c>
      <c r="H117" s="38">
        <v>130</v>
      </c>
      <c r="I117" s="38">
        <v>120</v>
      </c>
      <c r="J117" s="38">
        <v>45</v>
      </c>
      <c r="K117" s="38">
        <v>45</v>
      </c>
      <c r="L117" s="38">
        <v>40</v>
      </c>
      <c r="M117" s="38">
        <v>2</v>
      </c>
      <c r="N117" s="41" t="b">
        <v>0</v>
      </c>
    </row>
    <row r="118" spans="2:14" ht="15.75" hidden="1" customHeight="1" x14ac:dyDescent="0.25">
      <c r="B118" s="36">
        <v>113</v>
      </c>
      <c r="C118" s="37" t="s">
        <v>273</v>
      </c>
      <c r="D118" s="37" t="s">
        <v>167</v>
      </c>
      <c r="E118" s="1"/>
      <c r="F118" s="38">
        <v>450</v>
      </c>
      <c r="G118" s="38">
        <v>250</v>
      </c>
      <c r="H118" s="38">
        <v>5</v>
      </c>
      <c r="I118" s="38">
        <v>5</v>
      </c>
      <c r="J118" s="38">
        <v>35</v>
      </c>
      <c r="K118" s="38">
        <v>105</v>
      </c>
      <c r="L118" s="38">
        <v>50</v>
      </c>
      <c r="M118" s="38">
        <v>1</v>
      </c>
      <c r="N118" s="41" t="b">
        <v>0</v>
      </c>
    </row>
    <row r="119" spans="2:14" ht="15.75" hidden="1" customHeight="1" x14ac:dyDescent="0.25">
      <c r="B119" s="36">
        <v>114</v>
      </c>
      <c r="C119" s="37" t="s">
        <v>274</v>
      </c>
      <c r="D119" s="37" t="s">
        <v>146</v>
      </c>
      <c r="E119" s="1"/>
      <c r="F119" s="38">
        <v>435</v>
      </c>
      <c r="G119" s="38">
        <v>65</v>
      </c>
      <c r="H119" s="38">
        <v>55</v>
      </c>
      <c r="I119" s="38">
        <v>115</v>
      </c>
      <c r="J119" s="38">
        <v>100</v>
      </c>
      <c r="K119" s="38">
        <v>40</v>
      </c>
      <c r="L119" s="38">
        <v>60</v>
      </c>
      <c r="M119" s="38">
        <v>1</v>
      </c>
      <c r="N119" s="41" t="b">
        <v>0</v>
      </c>
    </row>
    <row r="120" spans="2:14" ht="15.75" hidden="1" customHeight="1" x14ac:dyDescent="0.25">
      <c r="B120" s="36">
        <v>115</v>
      </c>
      <c r="C120" s="37" t="s">
        <v>275</v>
      </c>
      <c r="D120" s="37" t="s">
        <v>167</v>
      </c>
      <c r="E120" s="1"/>
      <c r="F120" s="38">
        <v>490</v>
      </c>
      <c r="G120" s="38">
        <v>105</v>
      </c>
      <c r="H120" s="38">
        <v>95</v>
      </c>
      <c r="I120" s="38">
        <v>80</v>
      </c>
      <c r="J120" s="38">
        <v>40</v>
      </c>
      <c r="K120" s="38">
        <v>80</v>
      </c>
      <c r="L120" s="38">
        <v>90</v>
      </c>
      <c r="M120" s="38">
        <v>1</v>
      </c>
      <c r="N120" s="41" t="b">
        <v>0</v>
      </c>
    </row>
    <row r="121" spans="2:14" ht="15.75" hidden="1" customHeight="1" x14ac:dyDescent="0.25">
      <c r="B121" s="36">
        <v>116</v>
      </c>
      <c r="C121" s="37" t="s">
        <v>276</v>
      </c>
      <c r="D121" s="37" t="s">
        <v>156</v>
      </c>
      <c r="E121" s="1"/>
      <c r="F121" s="38">
        <v>295</v>
      </c>
      <c r="G121" s="38">
        <v>30</v>
      </c>
      <c r="H121" s="38">
        <v>40</v>
      </c>
      <c r="I121" s="38">
        <v>70</v>
      </c>
      <c r="J121" s="38">
        <v>70</v>
      </c>
      <c r="K121" s="38">
        <v>25</v>
      </c>
      <c r="L121" s="38">
        <v>60</v>
      </c>
      <c r="M121" s="38">
        <v>1</v>
      </c>
      <c r="N121" s="41" t="b">
        <v>0</v>
      </c>
    </row>
    <row r="122" spans="2:14" ht="15.75" hidden="1" customHeight="1" x14ac:dyDescent="0.25">
      <c r="B122" s="36">
        <v>117</v>
      </c>
      <c r="C122" s="37" t="s">
        <v>277</v>
      </c>
      <c r="D122" s="37" t="s">
        <v>156</v>
      </c>
      <c r="E122" s="1"/>
      <c r="F122" s="38">
        <v>440</v>
      </c>
      <c r="G122" s="38">
        <v>55</v>
      </c>
      <c r="H122" s="38">
        <v>65</v>
      </c>
      <c r="I122" s="38">
        <v>95</v>
      </c>
      <c r="J122" s="38">
        <v>95</v>
      </c>
      <c r="K122" s="38">
        <v>45</v>
      </c>
      <c r="L122" s="38">
        <v>85</v>
      </c>
      <c r="M122" s="38">
        <v>2</v>
      </c>
      <c r="N122" s="41" t="b">
        <v>0</v>
      </c>
    </row>
    <row r="123" spans="2:14" ht="15.75" hidden="1" customHeight="1" x14ac:dyDescent="0.25">
      <c r="B123" s="36">
        <v>118</v>
      </c>
      <c r="C123" s="37" t="s">
        <v>278</v>
      </c>
      <c r="D123" s="37" t="s">
        <v>156</v>
      </c>
      <c r="E123" s="1"/>
      <c r="F123" s="38">
        <v>320</v>
      </c>
      <c r="G123" s="38">
        <v>45</v>
      </c>
      <c r="H123" s="38">
        <v>67</v>
      </c>
      <c r="I123" s="38">
        <v>60</v>
      </c>
      <c r="J123" s="38">
        <v>35</v>
      </c>
      <c r="K123" s="38">
        <v>50</v>
      </c>
      <c r="L123" s="38">
        <v>63</v>
      </c>
      <c r="M123" s="38">
        <v>1</v>
      </c>
      <c r="N123" s="41" t="b">
        <v>0</v>
      </c>
    </row>
    <row r="124" spans="2:14" ht="15.75" hidden="1" customHeight="1" x14ac:dyDescent="0.25">
      <c r="B124" s="36">
        <v>119</v>
      </c>
      <c r="C124" s="37" t="s">
        <v>279</v>
      </c>
      <c r="D124" s="37" t="s">
        <v>156</v>
      </c>
      <c r="E124" s="1"/>
      <c r="F124" s="38">
        <v>450</v>
      </c>
      <c r="G124" s="38">
        <v>80</v>
      </c>
      <c r="H124" s="38">
        <v>92</v>
      </c>
      <c r="I124" s="38">
        <v>65</v>
      </c>
      <c r="J124" s="38">
        <v>65</v>
      </c>
      <c r="K124" s="38">
        <v>80</v>
      </c>
      <c r="L124" s="38">
        <v>68</v>
      </c>
      <c r="M124" s="38">
        <v>2</v>
      </c>
      <c r="N124" s="41" t="b">
        <v>0</v>
      </c>
    </row>
    <row r="125" spans="2:14" ht="15.75" hidden="1" customHeight="1" x14ac:dyDescent="0.25">
      <c r="B125" s="36">
        <v>120</v>
      </c>
      <c r="C125" s="37" t="s">
        <v>280</v>
      </c>
      <c r="D125" s="37" t="s">
        <v>156</v>
      </c>
      <c r="E125" s="1"/>
      <c r="F125" s="38">
        <v>340</v>
      </c>
      <c r="G125" s="38">
        <v>30</v>
      </c>
      <c r="H125" s="38">
        <v>45</v>
      </c>
      <c r="I125" s="38">
        <v>55</v>
      </c>
      <c r="J125" s="38">
        <v>70</v>
      </c>
      <c r="K125" s="38">
        <v>55</v>
      </c>
      <c r="L125" s="38">
        <v>85</v>
      </c>
      <c r="M125" s="38">
        <v>1</v>
      </c>
      <c r="N125" s="41" t="b">
        <v>0</v>
      </c>
    </row>
    <row r="126" spans="2:14" ht="15.75" hidden="1" customHeight="1" x14ac:dyDescent="0.25">
      <c r="B126" s="36">
        <v>121</v>
      </c>
      <c r="C126" s="37" t="s">
        <v>281</v>
      </c>
      <c r="D126" s="37" t="s">
        <v>156</v>
      </c>
      <c r="E126" s="37" t="s">
        <v>219</v>
      </c>
      <c r="F126" s="38">
        <v>520</v>
      </c>
      <c r="G126" s="38">
        <v>60</v>
      </c>
      <c r="H126" s="38">
        <v>75</v>
      </c>
      <c r="I126" s="38">
        <v>85</v>
      </c>
      <c r="J126" s="38">
        <v>100</v>
      </c>
      <c r="K126" s="38">
        <v>85</v>
      </c>
      <c r="L126" s="38">
        <v>115</v>
      </c>
      <c r="M126" s="38">
        <v>2</v>
      </c>
      <c r="N126" s="41" t="b">
        <v>0</v>
      </c>
    </row>
    <row r="127" spans="2:14" ht="15.75" hidden="1" customHeight="1" x14ac:dyDescent="0.25">
      <c r="B127" s="36">
        <v>122</v>
      </c>
      <c r="C127" s="37" t="s">
        <v>282</v>
      </c>
      <c r="D127" s="37" t="s">
        <v>219</v>
      </c>
      <c r="E127" s="37" t="s">
        <v>189</v>
      </c>
      <c r="F127" s="38">
        <v>460</v>
      </c>
      <c r="G127" s="38">
        <v>40</v>
      </c>
      <c r="H127" s="38">
        <v>45</v>
      </c>
      <c r="I127" s="38">
        <v>65</v>
      </c>
      <c r="J127" s="38">
        <v>100</v>
      </c>
      <c r="K127" s="38">
        <v>120</v>
      </c>
      <c r="L127" s="38">
        <v>90</v>
      </c>
      <c r="M127" s="38">
        <v>1</v>
      </c>
      <c r="N127" s="41" t="b">
        <v>0</v>
      </c>
    </row>
    <row r="128" spans="2:14" ht="15.75" hidden="1" customHeight="1" x14ac:dyDescent="0.25">
      <c r="B128" s="36">
        <v>123</v>
      </c>
      <c r="C128" s="37" t="s">
        <v>283</v>
      </c>
      <c r="D128" s="37" t="s">
        <v>160</v>
      </c>
      <c r="E128" s="37" t="s">
        <v>154</v>
      </c>
      <c r="F128" s="38">
        <v>500</v>
      </c>
      <c r="G128" s="38">
        <v>70</v>
      </c>
      <c r="H128" s="38">
        <v>110</v>
      </c>
      <c r="I128" s="38">
        <v>80</v>
      </c>
      <c r="J128" s="38">
        <v>55</v>
      </c>
      <c r="K128" s="38">
        <v>80</v>
      </c>
      <c r="L128" s="38">
        <v>105</v>
      </c>
      <c r="M128" s="38">
        <v>1</v>
      </c>
      <c r="N128" s="41" t="b">
        <v>0</v>
      </c>
    </row>
    <row r="129" spans="2:14" ht="15.75" hidden="1" customHeight="1" x14ac:dyDescent="0.25">
      <c r="B129" s="36">
        <v>124</v>
      </c>
      <c r="C129" s="37" t="s">
        <v>284</v>
      </c>
      <c r="D129" s="37" t="s">
        <v>246</v>
      </c>
      <c r="E129" s="37" t="s">
        <v>219</v>
      </c>
      <c r="F129" s="38">
        <v>455</v>
      </c>
      <c r="G129" s="38">
        <v>65</v>
      </c>
      <c r="H129" s="38">
        <v>50</v>
      </c>
      <c r="I129" s="38">
        <v>35</v>
      </c>
      <c r="J129" s="38">
        <v>115</v>
      </c>
      <c r="K129" s="38">
        <v>95</v>
      </c>
      <c r="L129" s="38">
        <v>95</v>
      </c>
      <c r="M129" s="38">
        <v>1</v>
      </c>
      <c r="N129" s="41" t="b">
        <v>0</v>
      </c>
    </row>
    <row r="130" spans="2:14" ht="15.75" hidden="1" customHeight="1" x14ac:dyDescent="0.25">
      <c r="B130" s="36">
        <v>125</v>
      </c>
      <c r="C130" s="37" t="s">
        <v>285</v>
      </c>
      <c r="D130" s="37" t="s">
        <v>177</v>
      </c>
      <c r="E130" s="1"/>
      <c r="F130" s="38">
        <v>490</v>
      </c>
      <c r="G130" s="38">
        <v>65</v>
      </c>
      <c r="H130" s="38">
        <v>83</v>
      </c>
      <c r="I130" s="38">
        <v>57</v>
      </c>
      <c r="J130" s="38">
        <v>95</v>
      </c>
      <c r="K130" s="38">
        <v>85</v>
      </c>
      <c r="L130" s="38">
        <v>105</v>
      </c>
      <c r="M130" s="38">
        <v>1</v>
      </c>
      <c r="N130" s="41" t="b">
        <v>0</v>
      </c>
    </row>
    <row r="131" spans="2:14" ht="15.75" hidden="1" customHeight="1" x14ac:dyDescent="0.25">
      <c r="B131" s="36">
        <v>126</v>
      </c>
      <c r="C131" s="37" t="s">
        <v>286</v>
      </c>
      <c r="D131" s="37" t="s">
        <v>151</v>
      </c>
      <c r="E131" s="1"/>
      <c r="F131" s="38">
        <v>495</v>
      </c>
      <c r="G131" s="38">
        <v>65</v>
      </c>
      <c r="H131" s="38">
        <v>95</v>
      </c>
      <c r="I131" s="38">
        <v>57</v>
      </c>
      <c r="J131" s="38">
        <v>100</v>
      </c>
      <c r="K131" s="38">
        <v>85</v>
      </c>
      <c r="L131" s="38">
        <v>93</v>
      </c>
      <c r="M131" s="38">
        <v>1</v>
      </c>
      <c r="N131" s="41" t="b">
        <v>0</v>
      </c>
    </row>
    <row r="132" spans="2:14" ht="15.75" hidden="1" customHeight="1" x14ac:dyDescent="0.25">
      <c r="B132" s="36">
        <v>127</v>
      </c>
      <c r="C132" s="37" t="s">
        <v>287</v>
      </c>
      <c r="D132" s="37" t="s">
        <v>160</v>
      </c>
      <c r="E132" s="1"/>
      <c r="F132" s="38">
        <v>500</v>
      </c>
      <c r="G132" s="38">
        <v>65</v>
      </c>
      <c r="H132" s="38">
        <v>125</v>
      </c>
      <c r="I132" s="38">
        <v>100</v>
      </c>
      <c r="J132" s="38">
        <v>55</v>
      </c>
      <c r="K132" s="38">
        <v>70</v>
      </c>
      <c r="L132" s="38">
        <v>85</v>
      </c>
      <c r="M132" s="38">
        <v>1</v>
      </c>
      <c r="N132" s="41" t="b">
        <v>0</v>
      </c>
    </row>
    <row r="133" spans="2:14" ht="15.75" hidden="1" customHeight="1" x14ac:dyDescent="0.25">
      <c r="B133" s="36">
        <v>128</v>
      </c>
      <c r="C133" s="37" t="s">
        <v>288</v>
      </c>
      <c r="D133" s="37" t="s">
        <v>167</v>
      </c>
      <c r="E133" s="1"/>
      <c r="F133" s="38">
        <v>490</v>
      </c>
      <c r="G133" s="38">
        <v>75</v>
      </c>
      <c r="H133" s="38">
        <v>100</v>
      </c>
      <c r="I133" s="38">
        <v>95</v>
      </c>
      <c r="J133" s="38">
        <v>40</v>
      </c>
      <c r="K133" s="38">
        <v>70</v>
      </c>
      <c r="L133" s="38">
        <v>110</v>
      </c>
      <c r="M133" s="38">
        <v>1</v>
      </c>
      <c r="N133" s="41" t="b">
        <v>0</v>
      </c>
    </row>
    <row r="134" spans="2:14" ht="15.75" hidden="1" customHeight="1" x14ac:dyDescent="0.25">
      <c r="B134" s="36">
        <v>129</v>
      </c>
      <c r="C134" s="37" t="s">
        <v>289</v>
      </c>
      <c r="D134" s="37" t="s">
        <v>156</v>
      </c>
      <c r="E134" s="1"/>
      <c r="F134" s="38">
        <v>200</v>
      </c>
      <c r="G134" s="38">
        <v>20</v>
      </c>
      <c r="H134" s="38">
        <v>10</v>
      </c>
      <c r="I134" s="38">
        <v>55</v>
      </c>
      <c r="J134" s="38">
        <v>15</v>
      </c>
      <c r="K134" s="38">
        <v>20</v>
      </c>
      <c r="L134" s="38">
        <v>80</v>
      </c>
      <c r="M134" s="38">
        <v>1</v>
      </c>
      <c r="N134" s="41" t="b">
        <v>0</v>
      </c>
    </row>
    <row r="135" spans="2:14" ht="15.75" hidden="1" customHeight="1" x14ac:dyDescent="0.25">
      <c r="B135" s="36">
        <v>130</v>
      </c>
      <c r="C135" s="37" t="s">
        <v>290</v>
      </c>
      <c r="D135" s="37" t="s">
        <v>156</v>
      </c>
      <c r="E135" s="37" t="s">
        <v>154</v>
      </c>
      <c r="F135" s="38">
        <v>540</v>
      </c>
      <c r="G135" s="38">
        <v>95</v>
      </c>
      <c r="H135" s="38">
        <v>125</v>
      </c>
      <c r="I135" s="38">
        <v>79</v>
      </c>
      <c r="J135" s="38">
        <v>60</v>
      </c>
      <c r="K135" s="38">
        <v>100</v>
      </c>
      <c r="L135" s="38">
        <v>81</v>
      </c>
      <c r="M135" s="38">
        <v>2</v>
      </c>
      <c r="N135" s="41" t="b">
        <v>0</v>
      </c>
    </row>
    <row r="136" spans="2:14" ht="15.75" hidden="1" customHeight="1" x14ac:dyDescent="0.25">
      <c r="B136" s="36">
        <v>131</v>
      </c>
      <c r="C136" s="37" t="s">
        <v>291</v>
      </c>
      <c r="D136" s="37" t="s">
        <v>156</v>
      </c>
      <c r="E136" s="37" t="s">
        <v>246</v>
      </c>
      <c r="F136" s="38">
        <v>535</v>
      </c>
      <c r="G136" s="38">
        <v>130</v>
      </c>
      <c r="H136" s="38">
        <v>85</v>
      </c>
      <c r="I136" s="38">
        <v>80</v>
      </c>
      <c r="J136" s="38">
        <v>85</v>
      </c>
      <c r="K136" s="38">
        <v>95</v>
      </c>
      <c r="L136" s="38">
        <v>60</v>
      </c>
      <c r="M136" s="38">
        <v>1</v>
      </c>
      <c r="N136" s="41" t="b">
        <v>0</v>
      </c>
    </row>
    <row r="137" spans="2:14" ht="15.75" hidden="1" customHeight="1" x14ac:dyDescent="0.25">
      <c r="B137" s="36">
        <v>132</v>
      </c>
      <c r="C137" s="37" t="s">
        <v>292</v>
      </c>
      <c r="D137" s="37" t="s">
        <v>167</v>
      </c>
      <c r="E137" s="1"/>
      <c r="F137" s="38">
        <v>288</v>
      </c>
      <c r="G137" s="38">
        <v>48</v>
      </c>
      <c r="H137" s="38">
        <v>48</v>
      </c>
      <c r="I137" s="38">
        <v>48</v>
      </c>
      <c r="J137" s="38">
        <v>48</v>
      </c>
      <c r="K137" s="38">
        <v>48</v>
      </c>
      <c r="L137" s="38">
        <v>48</v>
      </c>
      <c r="M137" s="38">
        <v>1</v>
      </c>
      <c r="N137" s="41" t="b">
        <v>0</v>
      </c>
    </row>
    <row r="138" spans="2:14" ht="15.75" hidden="1" customHeight="1" x14ac:dyDescent="0.25">
      <c r="B138" s="36">
        <v>133</v>
      </c>
      <c r="C138" s="37" t="s">
        <v>293</v>
      </c>
      <c r="D138" s="37" t="s">
        <v>167</v>
      </c>
      <c r="E138" s="1"/>
      <c r="F138" s="38">
        <v>325</v>
      </c>
      <c r="G138" s="38">
        <v>55</v>
      </c>
      <c r="H138" s="38">
        <v>55</v>
      </c>
      <c r="I138" s="38">
        <v>50</v>
      </c>
      <c r="J138" s="38">
        <v>45</v>
      </c>
      <c r="K138" s="38">
        <v>65</v>
      </c>
      <c r="L138" s="38">
        <v>55</v>
      </c>
      <c r="M138" s="38">
        <v>1</v>
      </c>
      <c r="N138" s="41" t="b">
        <v>0</v>
      </c>
    </row>
    <row r="139" spans="2:14" ht="15.75" hidden="1" customHeight="1" x14ac:dyDescent="0.25">
      <c r="B139" s="36">
        <v>134</v>
      </c>
      <c r="C139" s="37" t="s">
        <v>294</v>
      </c>
      <c r="D139" s="37" t="s">
        <v>156</v>
      </c>
      <c r="E139" s="1"/>
      <c r="F139" s="38">
        <v>525</v>
      </c>
      <c r="G139" s="38">
        <v>130</v>
      </c>
      <c r="H139" s="38">
        <v>65</v>
      </c>
      <c r="I139" s="38">
        <v>60</v>
      </c>
      <c r="J139" s="38">
        <v>110</v>
      </c>
      <c r="K139" s="38">
        <v>95</v>
      </c>
      <c r="L139" s="38">
        <v>65</v>
      </c>
      <c r="M139" s="38">
        <v>2</v>
      </c>
      <c r="N139" s="41" t="b">
        <v>0</v>
      </c>
    </row>
    <row r="140" spans="2:14" ht="15.75" hidden="1" customHeight="1" x14ac:dyDescent="0.25">
      <c r="B140" s="36">
        <v>135</v>
      </c>
      <c r="C140" s="37" t="s">
        <v>295</v>
      </c>
      <c r="D140" s="37" t="s">
        <v>177</v>
      </c>
      <c r="E140" s="1"/>
      <c r="F140" s="38">
        <v>525</v>
      </c>
      <c r="G140" s="38">
        <v>65</v>
      </c>
      <c r="H140" s="38">
        <v>65</v>
      </c>
      <c r="I140" s="38">
        <v>60</v>
      </c>
      <c r="J140" s="38">
        <v>110</v>
      </c>
      <c r="K140" s="38">
        <v>95</v>
      </c>
      <c r="L140" s="38">
        <v>130</v>
      </c>
      <c r="M140" s="38">
        <v>2</v>
      </c>
      <c r="N140" s="41" t="b">
        <v>0</v>
      </c>
    </row>
    <row r="141" spans="2:14" ht="15.75" hidden="1" customHeight="1" x14ac:dyDescent="0.25">
      <c r="B141" s="36">
        <v>136</v>
      </c>
      <c r="C141" s="37" t="s">
        <v>296</v>
      </c>
      <c r="D141" s="37" t="s">
        <v>151</v>
      </c>
      <c r="E141" s="1"/>
      <c r="F141" s="38">
        <v>525</v>
      </c>
      <c r="G141" s="38">
        <v>65</v>
      </c>
      <c r="H141" s="38">
        <v>130</v>
      </c>
      <c r="I141" s="38">
        <v>60</v>
      </c>
      <c r="J141" s="38">
        <v>95</v>
      </c>
      <c r="K141" s="38">
        <v>110</v>
      </c>
      <c r="L141" s="38">
        <v>65</v>
      </c>
      <c r="M141" s="38">
        <v>2</v>
      </c>
      <c r="N141" s="41" t="b">
        <v>0</v>
      </c>
    </row>
    <row r="142" spans="2:14" ht="15.75" hidden="1" customHeight="1" x14ac:dyDescent="0.25">
      <c r="B142" s="36">
        <v>137</v>
      </c>
      <c r="C142" s="37" t="s">
        <v>297</v>
      </c>
      <c r="D142" s="37" t="s">
        <v>167</v>
      </c>
      <c r="E142" s="1"/>
      <c r="F142" s="38">
        <v>395</v>
      </c>
      <c r="G142" s="38">
        <v>65</v>
      </c>
      <c r="H142" s="38">
        <v>60</v>
      </c>
      <c r="I142" s="38">
        <v>70</v>
      </c>
      <c r="J142" s="38">
        <v>85</v>
      </c>
      <c r="K142" s="38">
        <v>75</v>
      </c>
      <c r="L142" s="38">
        <v>40</v>
      </c>
      <c r="M142" s="38">
        <v>1</v>
      </c>
      <c r="N142" s="41" t="b">
        <v>0</v>
      </c>
    </row>
    <row r="143" spans="2:14" ht="15.75" hidden="1" customHeight="1" x14ac:dyDescent="0.25">
      <c r="B143" s="36">
        <v>138</v>
      </c>
      <c r="C143" s="37" t="s">
        <v>298</v>
      </c>
      <c r="D143" s="37" t="s">
        <v>231</v>
      </c>
      <c r="E143" s="37" t="s">
        <v>156</v>
      </c>
      <c r="F143" s="38">
        <v>355</v>
      </c>
      <c r="G143" s="38">
        <v>35</v>
      </c>
      <c r="H143" s="38">
        <v>40</v>
      </c>
      <c r="I143" s="38">
        <v>100</v>
      </c>
      <c r="J143" s="38">
        <v>90</v>
      </c>
      <c r="K143" s="38">
        <v>55</v>
      </c>
      <c r="L143" s="38">
        <v>35</v>
      </c>
      <c r="M143" s="38">
        <v>1</v>
      </c>
      <c r="N143" s="41" t="b">
        <v>0</v>
      </c>
    </row>
    <row r="144" spans="2:14" ht="15.75" hidden="1" customHeight="1" x14ac:dyDescent="0.25">
      <c r="B144" s="36">
        <v>139</v>
      </c>
      <c r="C144" s="37" t="s">
        <v>299</v>
      </c>
      <c r="D144" s="37" t="s">
        <v>231</v>
      </c>
      <c r="E144" s="37" t="s">
        <v>156</v>
      </c>
      <c r="F144" s="38">
        <v>495</v>
      </c>
      <c r="G144" s="38">
        <v>70</v>
      </c>
      <c r="H144" s="38">
        <v>60</v>
      </c>
      <c r="I144" s="38">
        <v>125</v>
      </c>
      <c r="J144" s="38">
        <v>115</v>
      </c>
      <c r="K144" s="38">
        <v>70</v>
      </c>
      <c r="L144" s="38">
        <v>55</v>
      </c>
      <c r="M144" s="38">
        <v>2</v>
      </c>
      <c r="N144" s="41" t="b">
        <v>0</v>
      </c>
    </row>
    <row r="145" spans="2:14" ht="15.75" hidden="1" customHeight="1" x14ac:dyDescent="0.25">
      <c r="B145" s="36">
        <v>140</v>
      </c>
      <c r="C145" s="37" t="s">
        <v>300</v>
      </c>
      <c r="D145" s="37" t="s">
        <v>231</v>
      </c>
      <c r="E145" s="37" t="s">
        <v>156</v>
      </c>
      <c r="F145" s="38">
        <v>355</v>
      </c>
      <c r="G145" s="38">
        <v>30</v>
      </c>
      <c r="H145" s="38">
        <v>80</v>
      </c>
      <c r="I145" s="38">
        <v>90</v>
      </c>
      <c r="J145" s="38">
        <v>55</v>
      </c>
      <c r="K145" s="38">
        <v>45</v>
      </c>
      <c r="L145" s="38">
        <v>55</v>
      </c>
      <c r="M145" s="38">
        <v>1</v>
      </c>
      <c r="N145" s="41" t="b">
        <v>0</v>
      </c>
    </row>
    <row r="146" spans="2:14" ht="15.75" hidden="1" customHeight="1" x14ac:dyDescent="0.25">
      <c r="B146" s="36">
        <v>141</v>
      </c>
      <c r="C146" s="37" t="s">
        <v>301</v>
      </c>
      <c r="D146" s="37" t="s">
        <v>231</v>
      </c>
      <c r="E146" s="37" t="s">
        <v>156</v>
      </c>
      <c r="F146" s="38">
        <v>495</v>
      </c>
      <c r="G146" s="38">
        <v>60</v>
      </c>
      <c r="H146" s="38">
        <v>115</v>
      </c>
      <c r="I146" s="38">
        <v>105</v>
      </c>
      <c r="J146" s="38">
        <v>65</v>
      </c>
      <c r="K146" s="38">
        <v>70</v>
      </c>
      <c r="L146" s="38">
        <v>80</v>
      </c>
      <c r="M146" s="38">
        <v>2</v>
      </c>
      <c r="N146" s="41" t="b">
        <v>0</v>
      </c>
    </row>
    <row r="147" spans="2:14" ht="15.75" hidden="1" customHeight="1" x14ac:dyDescent="0.25">
      <c r="B147" s="36">
        <v>142</v>
      </c>
      <c r="C147" s="37" t="s">
        <v>302</v>
      </c>
      <c r="D147" s="37" t="s">
        <v>231</v>
      </c>
      <c r="E147" s="37" t="s">
        <v>154</v>
      </c>
      <c r="F147" s="38">
        <v>515</v>
      </c>
      <c r="G147" s="38">
        <v>80</v>
      </c>
      <c r="H147" s="38">
        <v>105</v>
      </c>
      <c r="I147" s="38">
        <v>65</v>
      </c>
      <c r="J147" s="38">
        <v>60</v>
      </c>
      <c r="K147" s="38">
        <v>75</v>
      </c>
      <c r="L147" s="38">
        <v>130</v>
      </c>
      <c r="M147" s="38">
        <v>1</v>
      </c>
      <c r="N147" s="41" t="b">
        <v>0</v>
      </c>
    </row>
    <row r="148" spans="2:14" ht="15.75" hidden="1" customHeight="1" x14ac:dyDescent="0.25">
      <c r="B148" s="36">
        <v>143</v>
      </c>
      <c r="C148" s="37" t="s">
        <v>303</v>
      </c>
      <c r="D148" s="37" t="s">
        <v>167</v>
      </c>
      <c r="E148" s="1"/>
      <c r="F148" s="38">
        <v>540</v>
      </c>
      <c r="G148" s="38">
        <v>160</v>
      </c>
      <c r="H148" s="38">
        <v>110</v>
      </c>
      <c r="I148" s="38">
        <v>65</v>
      </c>
      <c r="J148" s="38">
        <v>65</v>
      </c>
      <c r="K148" s="38">
        <v>110</v>
      </c>
      <c r="L148" s="38">
        <v>30</v>
      </c>
      <c r="M148" s="38">
        <v>1</v>
      </c>
      <c r="N148" s="41" t="b">
        <v>0</v>
      </c>
    </row>
    <row r="149" spans="2:14" ht="15.75" hidden="1" customHeight="1" x14ac:dyDescent="0.25">
      <c r="B149" s="36">
        <v>144</v>
      </c>
      <c r="C149" s="37" t="s">
        <v>304</v>
      </c>
      <c r="D149" s="37" t="s">
        <v>246</v>
      </c>
      <c r="E149" s="37" t="s">
        <v>154</v>
      </c>
      <c r="F149" s="38">
        <v>580</v>
      </c>
      <c r="G149" s="38">
        <v>90</v>
      </c>
      <c r="H149" s="38">
        <v>85</v>
      </c>
      <c r="I149" s="38">
        <v>100</v>
      </c>
      <c r="J149" s="38">
        <v>95</v>
      </c>
      <c r="K149" s="38">
        <v>125</v>
      </c>
      <c r="L149" s="38">
        <v>85</v>
      </c>
      <c r="M149" s="38">
        <v>1</v>
      </c>
      <c r="N149" s="41" t="b">
        <v>1</v>
      </c>
    </row>
    <row r="150" spans="2:14" ht="15.75" hidden="1" customHeight="1" x14ac:dyDescent="0.25">
      <c r="B150" s="36">
        <v>145</v>
      </c>
      <c r="C150" s="37" t="s">
        <v>305</v>
      </c>
      <c r="D150" s="37" t="s">
        <v>177</v>
      </c>
      <c r="E150" s="37" t="s">
        <v>154</v>
      </c>
      <c r="F150" s="38">
        <v>580</v>
      </c>
      <c r="G150" s="38">
        <v>90</v>
      </c>
      <c r="H150" s="38">
        <v>90</v>
      </c>
      <c r="I150" s="38">
        <v>85</v>
      </c>
      <c r="J150" s="38">
        <v>125</v>
      </c>
      <c r="K150" s="38">
        <v>90</v>
      </c>
      <c r="L150" s="38">
        <v>100</v>
      </c>
      <c r="M150" s="38">
        <v>1</v>
      </c>
      <c r="N150" s="41" t="b">
        <v>1</v>
      </c>
    </row>
    <row r="151" spans="2:14" ht="15.75" hidden="1" customHeight="1" x14ac:dyDescent="0.25">
      <c r="B151" s="36">
        <v>146</v>
      </c>
      <c r="C151" s="37" t="s">
        <v>306</v>
      </c>
      <c r="D151" s="37" t="s">
        <v>151</v>
      </c>
      <c r="E151" s="37" t="s">
        <v>154</v>
      </c>
      <c r="F151" s="38">
        <v>580</v>
      </c>
      <c r="G151" s="38">
        <v>90</v>
      </c>
      <c r="H151" s="38">
        <v>100</v>
      </c>
      <c r="I151" s="38">
        <v>90</v>
      </c>
      <c r="J151" s="38">
        <v>125</v>
      </c>
      <c r="K151" s="38">
        <v>85</v>
      </c>
      <c r="L151" s="38">
        <v>90</v>
      </c>
      <c r="M151" s="38">
        <v>1</v>
      </c>
      <c r="N151" s="41" t="b">
        <v>1</v>
      </c>
    </row>
    <row r="152" spans="2:14" ht="15.75" hidden="1" customHeight="1" x14ac:dyDescent="0.25">
      <c r="B152" s="36">
        <v>147</v>
      </c>
      <c r="C152" s="37" t="s">
        <v>307</v>
      </c>
      <c r="D152" s="37" t="s">
        <v>308</v>
      </c>
      <c r="E152" s="1"/>
      <c r="F152" s="38">
        <v>300</v>
      </c>
      <c r="G152" s="38">
        <v>41</v>
      </c>
      <c r="H152" s="38">
        <v>64</v>
      </c>
      <c r="I152" s="38">
        <v>45</v>
      </c>
      <c r="J152" s="38">
        <v>50</v>
      </c>
      <c r="K152" s="38">
        <v>50</v>
      </c>
      <c r="L152" s="38">
        <v>50</v>
      </c>
      <c r="M152" s="38">
        <v>1</v>
      </c>
      <c r="N152" s="41" t="b">
        <v>0</v>
      </c>
    </row>
    <row r="153" spans="2:14" ht="15.75" hidden="1" customHeight="1" x14ac:dyDescent="0.25">
      <c r="B153" s="36">
        <v>148</v>
      </c>
      <c r="C153" s="37" t="s">
        <v>309</v>
      </c>
      <c r="D153" s="37" t="s">
        <v>308</v>
      </c>
      <c r="E153" s="1"/>
      <c r="F153" s="38">
        <v>420</v>
      </c>
      <c r="G153" s="38">
        <v>61</v>
      </c>
      <c r="H153" s="38">
        <v>84</v>
      </c>
      <c r="I153" s="38">
        <v>65</v>
      </c>
      <c r="J153" s="38">
        <v>70</v>
      </c>
      <c r="K153" s="38">
        <v>70</v>
      </c>
      <c r="L153" s="38">
        <v>70</v>
      </c>
      <c r="M153" s="38">
        <v>2</v>
      </c>
      <c r="N153" s="41" t="b">
        <v>0</v>
      </c>
    </row>
    <row r="154" spans="2:14" ht="15.75" hidden="1" customHeight="1" x14ac:dyDescent="0.25">
      <c r="B154" s="36">
        <v>149</v>
      </c>
      <c r="C154" s="37" t="s">
        <v>310</v>
      </c>
      <c r="D154" s="37" t="s">
        <v>308</v>
      </c>
      <c r="E154" s="37" t="s">
        <v>154</v>
      </c>
      <c r="F154" s="38">
        <v>600</v>
      </c>
      <c r="G154" s="38">
        <v>91</v>
      </c>
      <c r="H154" s="38">
        <v>134</v>
      </c>
      <c r="I154" s="38">
        <v>95</v>
      </c>
      <c r="J154" s="38">
        <v>100</v>
      </c>
      <c r="K154" s="38">
        <v>100</v>
      </c>
      <c r="L154" s="38">
        <v>80</v>
      </c>
      <c r="M154" s="38">
        <v>3</v>
      </c>
      <c r="N154" s="41" t="b">
        <v>0</v>
      </c>
    </row>
    <row r="155" spans="2:14" ht="15.75" hidden="1" customHeight="1" x14ac:dyDescent="0.25">
      <c r="B155" s="36">
        <v>150</v>
      </c>
      <c r="C155" s="37" t="s">
        <v>311</v>
      </c>
      <c r="D155" s="37" t="s">
        <v>219</v>
      </c>
      <c r="E155" s="1"/>
      <c r="F155" s="38">
        <v>680</v>
      </c>
      <c r="G155" s="38">
        <v>106</v>
      </c>
      <c r="H155" s="38">
        <v>110</v>
      </c>
      <c r="I155" s="38">
        <v>90</v>
      </c>
      <c r="J155" s="38">
        <v>154</v>
      </c>
      <c r="K155" s="38">
        <v>90</v>
      </c>
      <c r="L155" s="38">
        <v>130</v>
      </c>
      <c r="M155" s="38">
        <v>1</v>
      </c>
      <c r="N155" s="41" t="b">
        <v>1</v>
      </c>
    </row>
    <row r="156" spans="2:14" ht="15.75" hidden="1" customHeight="1" x14ac:dyDescent="0.25">
      <c r="B156" s="36">
        <v>151</v>
      </c>
      <c r="C156" s="37" t="s">
        <v>312</v>
      </c>
      <c r="D156" s="37" t="s">
        <v>219</v>
      </c>
      <c r="E156" s="1"/>
      <c r="F156" s="38">
        <v>600</v>
      </c>
      <c r="G156" s="38">
        <v>100</v>
      </c>
      <c r="H156" s="38">
        <v>100</v>
      </c>
      <c r="I156" s="38">
        <v>100</v>
      </c>
      <c r="J156" s="38">
        <v>100</v>
      </c>
      <c r="K156" s="38">
        <v>100</v>
      </c>
      <c r="L156" s="38">
        <v>100</v>
      </c>
      <c r="M156" s="38">
        <v>1</v>
      </c>
      <c r="N156" s="41" t="b">
        <v>0</v>
      </c>
    </row>
    <row r="157" spans="2:14" ht="15.75" customHeight="1" x14ac:dyDescent="0.25"/>
    <row r="158" spans="2:14" ht="15.75" customHeight="1" x14ac:dyDescent="0.25"/>
    <row r="159" spans="2:14" ht="15.75" customHeight="1" x14ac:dyDescent="0.25"/>
    <row r="160" spans="2:14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B5:N156" xr:uid="{00000000-0001-0000-0500-000000000000}">
    <filterColumn colId="3">
      <filters>
        <filter val="Poison"/>
      </filters>
    </filterColumn>
    <filterColumn colId="11">
      <filters>
        <filter val="1"/>
        <filter val="3"/>
      </filters>
    </filterColumn>
  </autoFilter>
  <mergeCells count="1">
    <mergeCell ref="C2:J2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outlinePr summaryBelow="0" summaryRight="0"/>
  </sheetPr>
  <dimension ref="B1:N1000"/>
  <sheetViews>
    <sheetView workbookViewId="0">
      <selection activeCell="C5" sqref="C5"/>
    </sheetView>
  </sheetViews>
  <sheetFormatPr defaultColWidth="12.6640625" defaultRowHeight="15" customHeight="1" x14ac:dyDescent="0.25"/>
  <sheetData>
    <row r="1" spans="2:14" ht="15.75" customHeight="1" x14ac:dyDescent="0.25"/>
    <row r="2" spans="2:14" ht="15.75" customHeight="1" x14ac:dyDescent="0.3">
      <c r="C2" s="82" t="s">
        <v>314</v>
      </c>
      <c r="D2" s="55"/>
      <c r="E2" s="55"/>
      <c r="F2" s="55"/>
      <c r="G2" s="55"/>
      <c r="H2" s="55"/>
      <c r="I2" s="55"/>
      <c r="J2" s="55"/>
      <c r="K2" s="56"/>
    </row>
    <row r="3" spans="2:14" ht="15.75" customHeight="1" x14ac:dyDescent="0.25"/>
    <row r="4" spans="2:14" ht="15.75" customHeight="1" x14ac:dyDescent="0.25">
      <c r="B4" s="34" t="s">
        <v>133</v>
      </c>
      <c r="C4" s="35" t="s">
        <v>33</v>
      </c>
      <c r="D4" s="35" t="s">
        <v>134</v>
      </c>
      <c r="E4" s="35" t="s">
        <v>135</v>
      </c>
      <c r="F4" s="35" t="s">
        <v>136</v>
      </c>
      <c r="G4" s="35" t="s">
        <v>137</v>
      </c>
      <c r="H4" s="35" t="s">
        <v>138</v>
      </c>
      <c r="I4" s="35" t="s">
        <v>139</v>
      </c>
      <c r="J4" s="35" t="s">
        <v>140</v>
      </c>
      <c r="K4" s="35" t="s">
        <v>141</v>
      </c>
      <c r="L4" s="35" t="s">
        <v>142</v>
      </c>
      <c r="M4" s="35" t="s">
        <v>143</v>
      </c>
      <c r="N4" s="35" t="s">
        <v>144</v>
      </c>
    </row>
    <row r="5" spans="2:14" ht="15.75" hidden="1" customHeight="1" x14ac:dyDescent="0.25">
      <c r="B5" s="36">
        <v>1</v>
      </c>
      <c r="C5" s="37" t="s">
        <v>145</v>
      </c>
      <c r="D5" s="37" t="s">
        <v>146</v>
      </c>
      <c r="E5" s="37" t="s">
        <v>147</v>
      </c>
      <c r="F5" s="38">
        <v>318</v>
      </c>
      <c r="G5" s="38">
        <v>45</v>
      </c>
      <c r="H5" s="38">
        <v>49</v>
      </c>
      <c r="I5" s="38">
        <v>49</v>
      </c>
      <c r="J5" s="38">
        <v>65</v>
      </c>
      <c r="K5" s="38">
        <v>65</v>
      </c>
      <c r="L5" s="38">
        <v>45</v>
      </c>
      <c r="M5" s="38">
        <v>1</v>
      </c>
      <c r="N5" s="39" t="b">
        <v>0</v>
      </c>
    </row>
    <row r="6" spans="2:14" ht="15.75" hidden="1" customHeight="1" x14ac:dyDescent="0.25">
      <c r="B6" s="36">
        <v>2</v>
      </c>
      <c r="C6" s="37" t="s">
        <v>148</v>
      </c>
      <c r="D6" s="37" t="s">
        <v>146</v>
      </c>
      <c r="E6" s="37" t="s">
        <v>147</v>
      </c>
      <c r="F6" s="38">
        <v>405</v>
      </c>
      <c r="G6" s="38">
        <v>60</v>
      </c>
      <c r="H6" s="38">
        <v>62</v>
      </c>
      <c r="I6" s="38">
        <v>63</v>
      </c>
      <c r="J6" s="38">
        <v>80</v>
      </c>
      <c r="K6" s="38">
        <v>80</v>
      </c>
      <c r="L6" s="38">
        <v>60</v>
      </c>
      <c r="M6" s="38">
        <v>2</v>
      </c>
      <c r="N6" s="39" t="b">
        <v>0</v>
      </c>
    </row>
    <row r="7" spans="2:14" ht="15.75" hidden="1" customHeight="1" x14ac:dyDescent="0.25">
      <c r="B7" s="36">
        <v>3</v>
      </c>
      <c r="C7" s="37" t="s">
        <v>149</v>
      </c>
      <c r="D7" s="37" t="s">
        <v>146</v>
      </c>
      <c r="E7" s="37" t="s">
        <v>147</v>
      </c>
      <c r="F7" s="38">
        <v>525</v>
      </c>
      <c r="G7" s="38">
        <v>80</v>
      </c>
      <c r="H7" s="38">
        <v>82</v>
      </c>
      <c r="I7" s="38">
        <v>83</v>
      </c>
      <c r="J7" s="38">
        <v>100</v>
      </c>
      <c r="K7" s="38">
        <v>100</v>
      </c>
      <c r="L7" s="38">
        <v>80</v>
      </c>
      <c r="M7" s="38">
        <v>3</v>
      </c>
      <c r="N7" s="39" t="b">
        <v>0</v>
      </c>
    </row>
    <row r="8" spans="2:14" ht="15.75" customHeight="1" x14ac:dyDescent="0.25">
      <c r="B8" s="36">
        <v>4</v>
      </c>
      <c r="C8" s="37" t="s">
        <v>150</v>
      </c>
      <c r="D8" s="37" t="s">
        <v>151</v>
      </c>
      <c r="E8" s="1"/>
      <c r="F8" s="38">
        <v>309</v>
      </c>
      <c r="G8" s="38">
        <v>39</v>
      </c>
      <c r="H8" s="38">
        <v>52</v>
      </c>
      <c r="I8" s="38">
        <v>43</v>
      </c>
      <c r="J8" s="38">
        <v>60</v>
      </c>
      <c r="K8" s="38">
        <v>50</v>
      </c>
      <c r="L8" s="38">
        <v>65</v>
      </c>
      <c r="M8" s="38">
        <v>1</v>
      </c>
      <c r="N8" s="39" t="b">
        <v>0</v>
      </c>
    </row>
    <row r="9" spans="2:14" ht="15.75" hidden="1" customHeight="1" x14ac:dyDescent="0.25">
      <c r="B9" s="36">
        <v>5</v>
      </c>
      <c r="C9" s="37" t="s">
        <v>152</v>
      </c>
      <c r="D9" s="37" t="s">
        <v>151</v>
      </c>
      <c r="E9" s="1"/>
      <c r="F9" s="38">
        <v>405</v>
      </c>
      <c r="G9" s="38">
        <v>58</v>
      </c>
      <c r="H9" s="38">
        <v>64</v>
      </c>
      <c r="I9" s="38">
        <v>58</v>
      </c>
      <c r="J9" s="38">
        <v>80</v>
      </c>
      <c r="K9" s="38">
        <v>65</v>
      </c>
      <c r="L9" s="38">
        <v>80</v>
      </c>
      <c r="M9" s="38">
        <v>2</v>
      </c>
      <c r="N9" s="39" t="b">
        <v>0</v>
      </c>
    </row>
    <row r="10" spans="2:14" ht="15.75" hidden="1" customHeight="1" x14ac:dyDescent="0.25">
      <c r="B10" s="36">
        <v>6</v>
      </c>
      <c r="C10" s="37" t="s">
        <v>153</v>
      </c>
      <c r="D10" s="37" t="s">
        <v>151</v>
      </c>
      <c r="E10" s="37" t="s">
        <v>154</v>
      </c>
      <c r="F10" s="38">
        <v>534</v>
      </c>
      <c r="G10" s="38">
        <v>78</v>
      </c>
      <c r="H10" s="38">
        <v>84</v>
      </c>
      <c r="I10" s="38">
        <v>78</v>
      </c>
      <c r="J10" s="38">
        <v>109</v>
      </c>
      <c r="K10" s="38">
        <v>85</v>
      </c>
      <c r="L10" s="38">
        <v>100</v>
      </c>
      <c r="M10" s="38">
        <v>3</v>
      </c>
      <c r="N10" s="39" t="b">
        <v>0</v>
      </c>
    </row>
    <row r="11" spans="2:14" ht="15.75" hidden="1" customHeight="1" x14ac:dyDescent="0.25">
      <c r="B11" s="36">
        <v>7</v>
      </c>
      <c r="C11" s="37" t="s">
        <v>155</v>
      </c>
      <c r="D11" s="37" t="s">
        <v>156</v>
      </c>
      <c r="E11" s="1"/>
      <c r="F11" s="38">
        <v>314</v>
      </c>
      <c r="G11" s="38">
        <v>44</v>
      </c>
      <c r="H11" s="38">
        <v>48</v>
      </c>
      <c r="I11" s="38">
        <v>65</v>
      </c>
      <c r="J11" s="38">
        <v>50</v>
      </c>
      <c r="K11" s="38">
        <v>64</v>
      </c>
      <c r="L11" s="38">
        <v>43</v>
      </c>
      <c r="M11" s="38">
        <v>1</v>
      </c>
      <c r="N11" s="39" t="b">
        <v>0</v>
      </c>
    </row>
    <row r="12" spans="2:14" ht="15.75" hidden="1" customHeight="1" x14ac:dyDescent="0.25">
      <c r="B12" s="36">
        <v>8</v>
      </c>
      <c r="C12" s="37" t="s">
        <v>157</v>
      </c>
      <c r="D12" s="37" t="s">
        <v>156</v>
      </c>
      <c r="E12" s="1"/>
      <c r="F12" s="38">
        <v>405</v>
      </c>
      <c r="G12" s="38">
        <v>59</v>
      </c>
      <c r="H12" s="38">
        <v>63</v>
      </c>
      <c r="I12" s="38">
        <v>80</v>
      </c>
      <c r="J12" s="38">
        <v>65</v>
      </c>
      <c r="K12" s="38">
        <v>80</v>
      </c>
      <c r="L12" s="38">
        <v>58</v>
      </c>
      <c r="M12" s="38">
        <v>2</v>
      </c>
      <c r="N12" s="39" t="b">
        <v>0</v>
      </c>
    </row>
    <row r="13" spans="2:14" ht="15.75" hidden="1" customHeight="1" x14ac:dyDescent="0.25">
      <c r="B13" s="36">
        <v>9</v>
      </c>
      <c r="C13" s="37" t="s">
        <v>158</v>
      </c>
      <c r="D13" s="37" t="s">
        <v>156</v>
      </c>
      <c r="E13" s="1"/>
      <c r="F13" s="38">
        <v>530</v>
      </c>
      <c r="G13" s="38">
        <v>79</v>
      </c>
      <c r="H13" s="38">
        <v>83</v>
      </c>
      <c r="I13" s="38">
        <v>100</v>
      </c>
      <c r="J13" s="38">
        <v>85</v>
      </c>
      <c r="K13" s="38">
        <v>105</v>
      </c>
      <c r="L13" s="38">
        <v>78</v>
      </c>
      <c r="M13" s="38">
        <v>3</v>
      </c>
      <c r="N13" s="39" t="b">
        <v>0</v>
      </c>
    </row>
    <row r="14" spans="2:14" ht="15.75" customHeight="1" x14ac:dyDescent="0.25">
      <c r="B14" s="36">
        <v>10</v>
      </c>
      <c r="C14" s="37" t="s">
        <v>159</v>
      </c>
      <c r="D14" s="37" t="s">
        <v>160</v>
      </c>
      <c r="E14" s="1"/>
      <c r="F14" s="38">
        <v>195</v>
      </c>
      <c r="G14" s="38">
        <v>45</v>
      </c>
      <c r="H14" s="38">
        <v>30</v>
      </c>
      <c r="I14" s="38">
        <v>35</v>
      </c>
      <c r="J14" s="38">
        <v>20</v>
      </c>
      <c r="K14" s="38">
        <v>20</v>
      </c>
      <c r="L14" s="38">
        <v>45</v>
      </c>
      <c r="M14" s="38">
        <v>1</v>
      </c>
      <c r="N14" s="39" t="b">
        <v>0</v>
      </c>
    </row>
    <row r="15" spans="2:14" ht="15.75" hidden="1" customHeight="1" x14ac:dyDescent="0.25">
      <c r="B15" s="36">
        <v>11</v>
      </c>
      <c r="C15" s="37" t="s">
        <v>161</v>
      </c>
      <c r="D15" s="37" t="s">
        <v>160</v>
      </c>
      <c r="E15" s="1"/>
      <c r="F15" s="38">
        <v>205</v>
      </c>
      <c r="G15" s="38">
        <v>50</v>
      </c>
      <c r="H15" s="38">
        <v>20</v>
      </c>
      <c r="I15" s="38">
        <v>55</v>
      </c>
      <c r="J15" s="38">
        <v>25</v>
      </c>
      <c r="K15" s="38">
        <v>25</v>
      </c>
      <c r="L15" s="38">
        <v>30</v>
      </c>
      <c r="M15" s="38">
        <v>2</v>
      </c>
      <c r="N15" s="39" t="b">
        <v>0</v>
      </c>
    </row>
    <row r="16" spans="2:14" ht="15.75" hidden="1" customHeight="1" x14ac:dyDescent="0.25">
      <c r="B16" s="36">
        <v>12</v>
      </c>
      <c r="C16" s="37" t="s">
        <v>162</v>
      </c>
      <c r="D16" s="37" t="s">
        <v>160</v>
      </c>
      <c r="E16" s="37" t="s">
        <v>154</v>
      </c>
      <c r="F16" s="38">
        <v>395</v>
      </c>
      <c r="G16" s="38">
        <v>60</v>
      </c>
      <c r="H16" s="38">
        <v>45</v>
      </c>
      <c r="I16" s="38">
        <v>50</v>
      </c>
      <c r="J16" s="38">
        <v>90</v>
      </c>
      <c r="K16" s="38">
        <v>80</v>
      </c>
      <c r="L16" s="38">
        <v>70</v>
      </c>
      <c r="M16" s="38">
        <v>3</v>
      </c>
      <c r="N16" s="39" t="b">
        <v>0</v>
      </c>
    </row>
    <row r="17" spans="2:14" ht="15.75" hidden="1" customHeight="1" x14ac:dyDescent="0.25">
      <c r="B17" s="36">
        <v>13</v>
      </c>
      <c r="C17" s="37" t="s">
        <v>163</v>
      </c>
      <c r="D17" s="37" t="s">
        <v>160</v>
      </c>
      <c r="E17" s="37" t="s">
        <v>147</v>
      </c>
      <c r="F17" s="38">
        <v>195</v>
      </c>
      <c r="G17" s="38">
        <v>40</v>
      </c>
      <c r="H17" s="38">
        <v>35</v>
      </c>
      <c r="I17" s="38">
        <v>30</v>
      </c>
      <c r="J17" s="38">
        <v>20</v>
      </c>
      <c r="K17" s="38">
        <v>20</v>
      </c>
      <c r="L17" s="38">
        <v>50</v>
      </c>
      <c r="M17" s="38">
        <v>1</v>
      </c>
      <c r="N17" s="39" t="b">
        <v>0</v>
      </c>
    </row>
    <row r="18" spans="2:14" ht="15.75" hidden="1" customHeight="1" x14ac:dyDescent="0.25">
      <c r="B18" s="36">
        <v>14</v>
      </c>
      <c r="C18" s="37" t="s">
        <v>164</v>
      </c>
      <c r="D18" s="37" t="s">
        <v>160</v>
      </c>
      <c r="E18" s="37" t="s">
        <v>147</v>
      </c>
      <c r="F18" s="38">
        <v>205</v>
      </c>
      <c r="G18" s="38">
        <v>45</v>
      </c>
      <c r="H18" s="38">
        <v>25</v>
      </c>
      <c r="I18" s="38">
        <v>50</v>
      </c>
      <c r="J18" s="38">
        <v>25</v>
      </c>
      <c r="K18" s="38">
        <v>25</v>
      </c>
      <c r="L18" s="38">
        <v>35</v>
      </c>
      <c r="M18" s="38">
        <v>2</v>
      </c>
      <c r="N18" s="39" t="b">
        <v>0</v>
      </c>
    </row>
    <row r="19" spans="2:14" ht="15.75" hidden="1" customHeight="1" x14ac:dyDescent="0.25">
      <c r="B19" s="36">
        <v>15</v>
      </c>
      <c r="C19" s="37" t="s">
        <v>165</v>
      </c>
      <c r="D19" s="37" t="s">
        <v>160</v>
      </c>
      <c r="E19" s="37" t="s">
        <v>147</v>
      </c>
      <c r="F19" s="38">
        <v>395</v>
      </c>
      <c r="G19" s="38">
        <v>65</v>
      </c>
      <c r="H19" s="38">
        <v>90</v>
      </c>
      <c r="I19" s="38">
        <v>40</v>
      </c>
      <c r="J19" s="38">
        <v>45</v>
      </c>
      <c r="K19" s="38">
        <v>80</v>
      </c>
      <c r="L19" s="38">
        <v>75</v>
      </c>
      <c r="M19" s="38">
        <v>3</v>
      </c>
      <c r="N19" s="39" t="b">
        <v>0</v>
      </c>
    </row>
    <row r="20" spans="2:14" ht="15.75" hidden="1" customHeight="1" x14ac:dyDescent="0.25">
      <c r="B20" s="36">
        <v>16</v>
      </c>
      <c r="C20" s="37" t="s">
        <v>166</v>
      </c>
      <c r="D20" s="37" t="s">
        <v>167</v>
      </c>
      <c r="E20" s="37" t="s">
        <v>154</v>
      </c>
      <c r="F20" s="38">
        <v>251</v>
      </c>
      <c r="G20" s="38">
        <v>40</v>
      </c>
      <c r="H20" s="38">
        <v>45</v>
      </c>
      <c r="I20" s="38">
        <v>40</v>
      </c>
      <c r="J20" s="38">
        <v>35</v>
      </c>
      <c r="K20" s="38">
        <v>35</v>
      </c>
      <c r="L20" s="38">
        <v>56</v>
      </c>
      <c r="M20" s="38">
        <v>1</v>
      </c>
      <c r="N20" s="39" t="b">
        <v>0</v>
      </c>
    </row>
    <row r="21" spans="2:14" ht="15.75" hidden="1" customHeight="1" x14ac:dyDescent="0.25">
      <c r="B21" s="36">
        <v>17</v>
      </c>
      <c r="C21" s="37" t="s">
        <v>168</v>
      </c>
      <c r="D21" s="37" t="s">
        <v>167</v>
      </c>
      <c r="E21" s="37" t="s">
        <v>154</v>
      </c>
      <c r="F21" s="38">
        <v>349</v>
      </c>
      <c r="G21" s="38">
        <v>63</v>
      </c>
      <c r="H21" s="38">
        <v>60</v>
      </c>
      <c r="I21" s="38">
        <v>55</v>
      </c>
      <c r="J21" s="38">
        <v>50</v>
      </c>
      <c r="K21" s="38">
        <v>50</v>
      </c>
      <c r="L21" s="38">
        <v>71</v>
      </c>
      <c r="M21" s="38">
        <v>2</v>
      </c>
      <c r="N21" s="39" t="b">
        <v>0</v>
      </c>
    </row>
    <row r="22" spans="2:14" ht="15.75" hidden="1" customHeight="1" x14ac:dyDescent="0.25">
      <c r="B22" s="36">
        <v>18</v>
      </c>
      <c r="C22" s="37" t="s">
        <v>169</v>
      </c>
      <c r="D22" s="37" t="s">
        <v>167</v>
      </c>
      <c r="E22" s="37" t="s">
        <v>154</v>
      </c>
      <c r="F22" s="38">
        <v>479</v>
      </c>
      <c r="G22" s="38">
        <v>83</v>
      </c>
      <c r="H22" s="38">
        <v>80</v>
      </c>
      <c r="I22" s="38">
        <v>75</v>
      </c>
      <c r="J22" s="38">
        <v>70</v>
      </c>
      <c r="K22" s="38">
        <v>70</v>
      </c>
      <c r="L22" s="38">
        <v>101</v>
      </c>
      <c r="M22" s="38">
        <v>3</v>
      </c>
      <c r="N22" s="39" t="b">
        <v>0</v>
      </c>
    </row>
    <row r="23" spans="2:14" ht="15.75" hidden="1" customHeight="1" x14ac:dyDescent="0.25">
      <c r="B23" s="36">
        <v>19</v>
      </c>
      <c r="C23" s="37" t="s">
        <v>170</v>
      </c>
      <c r="D23" s="37" t="s">
        <v>167</v>
      </c>
      <c r="E23" s="1"/>
      <c r="F23" s="38">
        <v>253</v>
      </c>
      <c r="G23" s="38">
        <v>30</v>
      </c>
      <c r="H23" s="38">
        <v>56</v>
      </c>
      <c r="I23" s="38">
        <v>35</v>
      </c>
      <c r="J23" s="38">
        <v>25</v>
      </c>
      <c r="K23" s="38">
        <v>35</v>
      </c>
      <c r="L23" s="38">
        <v>72</v>
      </c>
      <c r="M23" s="38">
        <v>1</v>
      </c>
      <c r="N23" s="39" t="b">
        <v>0</v>
      </c>
    </row>
    <row r="24" spans="2:14" ht="15.75" hidden="1" customHeight="1" x14ac:dyDescent="0.25">
      <c r="B24" s="36">
        <v>20</v>
      </c>
      <c r="C24" s="37" t="s">
        <v>171</v>
      </c>
      <c r="D24" s="37" t="s">
        <v>167</v>
      </c>
      <c r="E24" s="1"/>
      <c r="F24" s="38">
        <v>413</v>
      </c>
      <c r="G24" s="38">
        <v>55</v>
      </c>
      <c r="H24" s="38">
        <v>81</v>
      </c>
      <c r="I24" s="38">
        <v>60</v>
      </c>
      <c r="J24" s="38">
        <v>50</v>
      </c>
      <c r="K24" s="38">
        <v>70</v>
      </c>
      <c r="L24" s="38">
        <v>97</v>
      </c>
      <c r="M24" s="38">
        <v>2</v>
      </c>
      <c r="N24" s="39" t="b">
        <v>0</v>
      </c>
    </row>
    <row r="25" spans="2:14" ht="15.75" hidden="1" customHeight="1" x14ac:dyDescent="0.25">
      <c r="B25" s="36">
        <v>21</v>
      </c>
      <c r="C25" s="37" t="s">
        <v>172</v>
      </c>
      <c r="D25" s="37" t="s">
        <v>167</v>
      </c>
      <c r="E25" s="37" t="s">
        <v>154</v>
      </c>
      <c r="F25" s="38">
        <v>262</v>
      </c>
      <c r="G25" s="38">
        <v>40</v>
      </c>
      <c r="H25" s="38">
        <v>60</v>
      </c>
      <c r="I25" s="38">
        <v>30</v>
      </c>
      <c r="J25" s="38">
        <v>31</v>
      </c>
      <c r="K25" s="38">
        <v>31</v>
      </c>
      <c r="L25" s="38">
        <v>70</v>
      </c>
      <c r="M25" s="38">
        <v>1</v>
      </c>
      <c r="N25" s="39" t="b">
        <v>0</v>
      </c>
    </row>
    <row r="26" spans="2:14" ht="15.75" hidden="1" customHeight="1" x14ac:dyDescent="0.25">
      <c r="B26" s="36">
        <v>22</v>
      </c>
      <c r="C26" s="37" t="s">
        <v>173</v>
      </c>
      <c r="D26" s="37" t="s">
        <v>167</v>
      </c>
      <c r="E26" s="37" t="s">
        <v>154</v>
      </c>
      <c r="F26" s="38">
        <v>442</v>
      </c>
      <c r="G26" s="38">
        <v>65</v>
      </c>
      <c r="H26" s="38">
        <v>90</v>
      </c>
      <c r="I26" s="38">
        <v>65</v>
      </c>
      <c r="J26" s="38">
        <v>61</v>
      </c>
      <c r="K26" s="38">
        <v>61</v>
      </c>
      <c r="L26" s="38">
        <v>100</v>
      </c>
      <c r="M26" s="38">
        <v>2</v>
      </c>
      <c r="N26" s="39" t="b">
        <v>0</v>
      </c>
    </row>
    <row r="27" spans="2:14" ht="15.75" hidden="1" customHeight="1" x14ac:dyDescent="0.25">
      <c r="B27" s="36">
        <v>23</v>
      </c>
      <c r="C27" s="37" t="s">
        <v>174</v>
      </c>
      <c r="D27" s="37" t="s">
        <v>147</v>
      </c>
      <c r="E27" s="1"/>
      <c r="F27" s="38">
        <v>288</v>
      </c>
      <c r="G27" s="38">
        <v>35</v>
      </c>
      <c r="H27" s="38">
        <v>60</v>
      </c>
      <c r="I27" s="38">
        <v>44</v>
      </c>
      <c r="J27" s="38">
        <v>40</v>
      </c>
      <c r="K27" s="38">
        <v>54</v>
      </c>
      <c r="L27" s="38">
        <v>55</v>
      </c>
      <c r="M27" s="38">
        <v>1</v>
      </c>
      <c r="N27" s="39" t="b">
        <v>0</v>
      </c>
    </row>
    <row r="28" spans="2:14" ht="15.75" hidden="1" customHeight="1" x14ac:dyDescent="0.25">
      <c r="B28" s="36">
        <v>24</v>
      </c>
      <c r="C28" s="37" t="s">
        <v>175</v>
      </c>
      <c r="D28" s="37" t="s">
        <v>147</v>
      </c>
      <c r="E28" s="1"/>
      <c r="F28" s="38">
        <v>438</v>
      </c>
      <c r="G28" s="38">
        <v>60</v>
      </c>
      <c r="H28" s="38">
        <v>85</v>
      </c>
      <c r="I28" s="38">
        <v>69</v>
      </c>
      <c r="J28" s="38">
        <v>65</v>
      </c>
      <c r="K28" s="38">
        <v>79</v>
      </c>
      <c r="L28" s="38">
        <v>80</v>
      </c>
      <c r="M28" s="38">
        <v>2</v>
      </c>
      <c r="N28" s="39" t="b">
        <v>0</v>
      </c>
    </row>
    <row r="29" spans="2:14" ht="15.75" hidden="1" customHeight="1" x14ac:dyDescent="0.25">
      <c r="B29" s="36">
        <v>25</v>
      </c>
      <c r="C29" s="37" t="s">
        <v>176</v>
      </c>
      <c r="D29" s="37" t="s">
        <v>177</v>
      </c>
      <c r="E29" s="1"/>
      <c r="F29" s="38">
        <v>320</v>
      </c>
      <c r="G29" s="38">
        <v>35</v>
      </c>
      <c r="H29" s="38">
        <v>55</v>
      </c>
      <c r="I29" s="38">
        <v>40</v>
      </c>
      <c r="J29" s="38">
        <v>50</v>
      </c>
      <c r="K29" s="38">
        <v>50</v>
      </c>
      <c r="L29" s="38">
        <v>90</v>
      </c>
      <c r="M29" s="38">
        <v>1</v>
      </c>
      <c r="N29" s="39" t="b">
        <v>0</v>
      </c>
    </row>
    <row r="30" spans="2:14" ht="15.75" hidden="1" customHeight="1" x14ac:dyDescent="0.25">
      <c r="B30" s="36">
        <v>26</v>
      </c>
      <c r="C30" s="37" t="s">
        <v>178</v>
      </c>
      <c r="D30" s="37" t="s">
        <v>177</v>
      </c>
      <c r="E30" s="1"/>
      <c r="F30" s="38">
        <v>485</v>
      </c>
      <c r="G30" s="38">
        <v>60</v>
      </c>
      <c r="H30" s="38">
        <v>90</v>
      </c>
      <c r="I30" s="38">
        <v>55</v>
      </c>
      <c r="J30" s="38">
        <v>90</v>
      </c>
      <c r="K30" s="38">
        <v>80</v>
      </c>
      <c r="L30" s="38">
        <v>110</v>
      </c>
      <c r="M30" s="38">
        <v>2</v>
      </c>
      <c r="N30" s="39" t="b">
        <v>0</v>
      </c>
    </row>
    <row r="31" spans="2:14" ht="15.75" hidden="1" customHeight="1" x14ac:dyDescent="0.25">
      <c r="B31" s="36">
        <v>27</v>
      </c>
      <c r="C31" s="37" t="s">
        <v>179</v>
      </c>
      <c r="D31" s="37" t="s">
        <v>180</v>
      </c>
      <c r="E31" s="1"/>
      <c r="F31" s="38">
        <v>300</v>
      </c>
      <c r="G31" s="38">
        <v>50</v>
      </c>
      <c r="H31" s="38">
        <v>75</v>
      </c>
      <c r="I31" s="38">
        <v>85</v>
      </c>
      <c r="J31" s="38">
        <v>20</v>
      </c>
      <c r="K31" s="38">
        <v>30</v>
      </c>
      <c r="L31" s="38">
        <v>40</v>
      </c>
      <c r="M31" s="38">
        <v>1</v>
      </c>
      <c r="N31" s="39" t="b">
        <v>0</v>
      </c>
    </row>
    <row r="32" spans="2:14" ht="15.75" hidden="1" customHeight="1" x14ac:dyDescent="0.25">
      <c r="B32" s="36">
        <v>28</v>
      </c>
      <c r="C32" s="37" t="s">
        <v>181</v>
      </c>
      <c r="D32" s="37" t="s">
        <v>180</v>
      </c>
      <c r="E32" s="1"/>
      <c r="F32" s="38">
        <v>450</v>
      </c>
      <c r="G32" s="38">
        <v>75</v>
      </c>
      <c r="H32" s="38">
        <v>100</v>
      </c>
      <c r="I32" s="38">
        <v>110</v>
      </c>
      <c r="J32" s="38">
        <v>45</v>
      </c>
      <c r="K32" s="38">
        <v>55</v>
      </c>
      <c r="L32" s="38">
        <v>65</v>
      </c>
      <c r="M32" s="38">
        <v>2</v>
      </c>
      <c r="N32" s="39" t="b">
        <v>0</v>
      </c>
    </row>
    <row r="33" spans="2:14" ht="15.75" hidden="1" customHeight="1" x14ac:dyDescent="0.25">
      <c r="B33" s="36">
        <v>29</v>
      </c>
      <c r="C33" s="37" t="s">
        <v>182</v>
      </c>
      <c r="D33" s="37" t="s">
        <v>147</v>
      </c>
      <c r="E33" s="1"/>
      <c r="F33" s="38">
        <v>275</v>
      </c>
      <c r="G33" s="38">
        <v>55</v>
      </c>
      <c r="H33" s="38">
        <v>47</v>
      </c>
      <c r="I33" s="38">
        <v>52</v>
      </c>
      <c r="J33" s="38">
        <v>40</v>
      </c>
      <c r="K33" s="38">
        <v>40</v>
      </c>
      <c r="L33" s="38">
        <v>41</v>
      </c>
      <c r="M33" s="38">
        <v>1</v>
      </c>
      <c r="N33" s="39" t="b">
        <v>0</v>
      </c>
    </row>
    <row r="34" spans="2:14" ht="15.75" hidden="1" customHeight="1" x14ac:dyDescent="0.25">
      <c r="B34" s="36">
        <v>30</v>
      </c>
      <c r="C34" s="37" t="s">
        <v>183</v>
      </c>
      <c r="D34" s="37" t="s">
        <v>147</v>
      </c>
      <c r="E34" s="1"/>
      <c r="F34" s="38">
        <v>365</v>
      </c>
      <c r="G34" s="38">
        <v>70</v>
      </c>
      <c r="H34" s="38">
        <v>62</v>
      </c>
      <c r="I34" s="38">
        <v>67</v>
      </c>
      <c r="J34" s="38">
        <v>55</v>
      </c>
      <c r="K34" s="38">
        <v>55</v>
      </c>
      <c r="L34" s="38">
        <v>56</v>
      </c>
      <c r="M34" s="38">
        <v>2</v>
      </c>
      <c r="N34" s="39" t="b">
        <v>0</v>
      </c>
    </row>
    <row r="35" spans="2:14" ht="15.75" hidden="1" customHeight="1" x14ac:dyDescent="0.25">
      <c r="B35" s="36">
        <v>31</v>
      </c>
      <c r="C35" s="37" t="s">
        <v>184</v>
      </c>
      <c r="D35" s="37" t="s">
        <v>147</v>
      </c>
      <c r="E35" s="37" t="s">
        <v>180</v>
      </c>
      <c r="F35" s="38">
        <v>505</v>
      </c>
      <c r="G35" s="38">
        <v>90</v>
      </c>
      <c r="H35" s="38">
        <v>92</v>
      </c>
      <c r="I35" s="38">
        <v>87</v>
      </c>
      <c r="J35" s="38">
        <v>75</v>
      </c>
      <c r="K35" s="38">
        <v>85</v>
      </c>
      <c r="L35" s="38">
        <v>76</v>
      </c>
      <c r="M35" s="38">
        <v>3</v>
      </c>
      <c r="N35" s="39" t="b">
        <v>0</v>
      </c>
    </row>
    <row r="36" spans="2:14" ht="15.75" hidden="1" customHeight="1" x14ac:dyDescent="0.25">
      <c r="B36" s="36">
        <v>32</v>
      </c>
      <c r="C36" s="37" t="s">
        <v>185</v>
      </c>
      <c r="D36" s="37" t="s">
        <v>147</v>
      </c>
      <c r="E36" s="1"/>
      <c r="F36" s="38">
        <v>273</v>
      </c>
      <c r="G36" s="38">
        <v>46</v>
      </c>
      <c r="H36" s="38">
        <v>57</v>
      </c>
      <c r="I36" s="38">
        <v>40</v>
      </c>
      <c r="J36" s="38">
        <v>40</v>
      </c>
      <c r="K36" s="38">
        <v>40</v>
      </c>
      <c r="L36" s="38">
        <v>50</v>
      </c>
      <c r="M36" s="38">
        <v>1</v>
      </c>
      <c r="N36" s="39" t="b">
        <v>0</v>
      </c>
    </row>
    <row r="37" spans="2:14" ht="15.75" hidden="1" customHeight="1" x14ac:dyDescent="0.25">
      <c r="B37" s="36">
        <v>33</v>
      </c>
      <c r="C37" s="37" t="s">
        <v>186</v>
      </c>
      <c r="D37" s="37" t="s">
        <v>147</v>
      </c>
      <c r="E37" s="1"/>
      <c r="F37" s="38">
        <v>365</v>
      </c>
      <c r="G37" s="38">
        <v>61</v>
      </c>
      <c r="H37" s="38">
        <v>72</v>
      </c>
      <c r="I37" s="38">
        <v>57</v>
      </c>
      <c r="J37" s="38">
        <v>55</v>
      </c>
      <c r="K37" s="38">
        <v>55</v>
      </c>
      <c r="L37" s="38">
        <v>65</v>
      </c>
      <c r="M37" s="38">
        <v>2</v>
      </c>
      <c r="N37" s="39" t="b">
        <v>0</v>
      </c>
    </row>
    <row r="38" spans="2:14" ht="15.75" hidden="1" customHeight="1" x14ac:dyDescent="0.25">
      <c r="B38" s="36">
        <v>34</v>
      </c>
      <c r="C38" s="37" t="s">
        <v>187</v>
      </c>
      <c r="D38" s="37" t="s">
        <v>147</v>
      </c>
      <c r="E38" s="37" t="s">
        <v>180</v>
      </c>
      <c r="F38" s="38">
        <v>505</v>
      </c>
      <c r="G38" s="38">
        <v>81</v>
      </c>
      <c r="H38" s="38">
        <v>102</v>
      </c>
      <c r="I38" s="38">
        <v>77</v>
      </c>
      <c r="J38" s="38">
        <v>85</v>
      </c>
      <c r="K38" s="38">
        <v>75</v>
      </c>
      <c r="L38" s="38">
        <v>85</v>
      </c>
      <c r="M38" s="38">
        <v>3</v>
      </c>
      <c r="N38" s="39" t="b">
        <v>0</v>
      </c>
    </row>
    <row r="39" spans="2:14" ht="15.75" customHeight="1" x14ac:dyDescent="0.25">
      <c r="B39" s="36">
        <v>35</v>
      </c>
      <c r="C39" s="37" t="s">
        <v>188</v>
      </c>
      <c r="D39" s="37" t="s">
        <v>189</v>
      </c>
      <c r="E39" s="1"/>
      <c r="F39" s="38">
        <v>323</v>
      </c>
      <c r="G39" s="38">
        <v>70</v>
      </c>
      <c r="H39" s="38">
        <v>45</v>
      </c>
      <c r="I39" s="38">
        <v>48</v>
      </c>
      <c r="J39" s="38">
        <v>60</v>
      </c>
      <c r="K39" s="38">
        <v>65</v>
      </c>
      <c r="L39" s="38">
        <v>35</v>
      </c>
      <c r="M39" s="38">
        <v>1</v>
      </c>
      <c r="N39" s="39" t="b">
        <v>0</v>
      </c>
    </row>
    <row r="40" spans="2:14" ht="15.75" customHeight="1" x14ac:dyDescent="0.25">
      <c r="B40" s="36">
        <v>36</v>
      </c>
      <c r="C40" s="37" t="s">
        <v>190</v>
      </c>
      <c r="D40" s="37" t="s">
        <v>189</v>
      </c>
      <c r="E40" s="1"/>
      <c r="F40" s="38">
        <v>483</v>
      </c>
      <c r="G40" s="38">
        <v>95</v>
      </c>
      <c r="H40" s="38">
        <v>70</v>
      </c>
      <c r="I40" s="38">
        <v>73</v>
      </c>
      <c r="J40" s="38">
        <v>95</v>
      </c>
      <c r="K40" s="38">
        <v>90</v>
      </c>
      <c r="L40" s="38">
        <v>60</v>
      </c>
      <c r="M40" s="38">
        <v>2</v>
      </c>
      <c r="N40" s="39" t="b">
        <v>0</v>
      </c>
    </row>
    <row r="41" spans="2:14" ht="15.75" hidden="1" customHeight="1" x14ac:dyDescent="0.25">
      <c r="B41" s="36">
        <v>37</v>
      </c>
      <c r="C41" s="37" t="s">
        <v>191</v>
      </c>
      <c r="D41" s="37" t="s">
        <v>151</v>
      </c>
      <c r="E41" s="1"/>
      <c r="F41" s="38">
        <v>299</v>
      </c>
      <c r="G41" s="38">
        <v>38</v>
      </c>
      <c r="H41" s="38">
        <v>41</v>
      </c>
      <c r="I41" s="38">
        <v>40</v>
      </c>
      <c r="J41" s="38">
        <v>50</v>
      </c>
      <c r="K41" s="38">
        <v>65</v>
      </c>
      <c r="L41" s="38">
        <v>65</v>
      </c>
      <c r="M41" s="38">
        <v>1</v>
      </c>
      <c r="N41" s="39" t="b">
        <v>0</v>
      </c>
    </row>
    <row r="42" spans="2:14" ht="15.75" hidden="1" customHeight="1" x14ac:dyDescent="0.25">
      <c r="B42" s="36">
        <v>38</v>
      </c>
      <c r="C42" s="37" t="s">
        <v>192</v>
      </c>
      <c r="D42" s="37" t="s">
        <v>151</v>
      </c>
      <c r="E42" s="1"/>
      <c r="F42" s="38">
        <v>505</v>
      </c>
      <c r="G42" s="38">
        <v>73</v>
      </c>
      <c r="H42" s="38">
        <v>76</v>
      </c>
      <c r="I42" s="38">
        <v>75</v>
      </c>
      <c r="J42" s="38">
        <v>81</v>
      </c>
      <c r="K42" s="38">
        <v>100</v>
      </c>
      <c r="L42" s="38">
        <v>100</v>
      </c>
      <c r="M42" s="38">
        <v>2</v>
      </c>
      <c r="N42" s="39" t="b">
        <v>0</v>
      </c>
    </row>
    <row r="43" spans="2:14" ht="15.75" hidden="1" customHeight="1" x14ac:dyDescent="0.25">
      <c r="B43" s="36">
        <v>39</v>
      </c>
      <c r="C43" s="37" t="s">
        <v>193</v>
      </c>
      <c r="D43" s="37" t="s">
        <v>167</v>
      </c>
      <c r="E43" s="37" t="s">
        <v>189</v>
      </c>
      <c r="F43" s="38">
        <v>270</v>
      </c>
      <c r="G43" s="38">
        <v>115</v>
      </c>
      <c r="H43" s="38">
        <v>45</v>
      </c>
      <c r="I43" s="38">
        <v>20</v>
      </c>
      <c r="J43" s="38">
        <v>45</v>
      </c>
      <c r="K43" s="38">
        <v>25</v>
      </c>
      <c r="L43" s="38">
        <v>20</v>
      </c>
      <c r="M43" s="38">
        <v>1</v>
      </c>
      <c r="N43" s="39" t="b">
        <v>0</v>
      </c>
    </row>
    <row r="44" spans="2:14" ht="15.75" hidden="1" customHeight="1" x14ac:dyDescent="0.25">
      <c r="B44" s="36">
        <v>40</v>
      </c>
      <c r="C44" s="37" t="s">
        <v>194</v>
      </c>
      <c r="D44" s="37" t="s">
        <v>167</v>
      </c>
      <c r="E44" s="37" t="s">
        <v>189</v>
      </c>
      <c r="F44" s="38">
        <v>435</v>
      </c>
      <c r="G44" s="38">
        <v>140</v>
      </c>
      <c r="H44" s="38">
        <v>70</v>
      </c>
      <c r="I44" s="38">
        <v>45</v>
      </c>
      <c r="J44" s="38">
        <v>85</v>
      </c>
      <c r="K44" s="38">
        <v>50</v>
      </c>
      <c r="L44" s="38">
        <v>45</v>
      </c>
      <c r="M44" s="38">
        <v>2</v>
      </c>
      <c r="N44" s="39" t="b">
        <v>0</v>
      </c>
    </row>
    <row r="45" spans="2:14" ht="15.75" hidden="1" customHeight="1" x14ac:dyDescent="0.25">
      <c r="B45" s="36">
        <v>41</v>
      </c>
      <c r="C45" s="37" t="s">
        <v>195</v>
      </c>
      <c r="D45" s="37" t="s">
        <v>147</v>
      </c>
      <c r="E45" s="37" t="s">
        <v>154</v>
      </c>
      <c r="F45" s="38">
        <v>245</v>
      </c>
      <c r="G45" s="38">
        <v>40</v>
      </c>
      <c r="H45" s="38">
        <v>45</v>
      </c>
      <c r="I45" s="38">
        <v>35</v>
      </c>
      <c r="J45" s="38">
        <v>30</v>
      </c>
      <c r="K45" s="38">
        <v>40</v>
      </c>
      <c r="L45" s="38">
        <v>55</v>
      </c>
      <c r="M45" s="38">
        <v>1</v>
      </c>
      <c r="N45" s="39" t="b">
        <v>0</v>
      </c>
    </row>
    <row r="46" spans="2:14" ht="15.75" hidden="1" customHeight="1" x14ac:dyDescent="0.25">
      <c r="B46" s="36">
        <v>42</v>
      </c>
      <c r="C46" s="37" t="s">
        <v>196</v>
      </c>
      <c r="D46" s="37" t="s">
        <v>147</v>
      </c>
      <c r="E46" s="37" t="s">
        <v>154</v>
      </c>
      <c r="F46" s="38">
        <v>455</v>
      </c>
      <c r="G46" s="38">
        <v>75</v>
      </c>
      <c r="H46" s="38">
        <v>80</v>
      </c>
      <c r="I46" s="38">
        <v>70</v>
      </c>
      <c r="J46" s="38">
        <v>65</v>
      </c>
      <c r="K46" s="38">
        <v>75</v>
      </c>
      <c r="L46" s="38">
        <v>90</v>
      </c>
      <c r="M46" s="38">
        <v>2</v>
      </c>
      <c r="N46" s="39" t="b">
        <v>0</v>
      </c>
    </row>
    <row r="47" spans="2:14" ht="15.75" hidden="1" customHeight="1" x14ac:dyDescent="0.25">
      <c r="B47" s="36">
        <v>43</v>
      </c>
      <c r="C47" s="37" t="s">
        <v>197</v>
      </c>
      <c r="D47" s="37" t="s">
        <v>146</v>
      </c>
      <c r="E47" s="37" t="s">
        <v>147</v>
      </c>
      <c r="F47" s="38">
        <v>320</v>
      </c>
      <c r="G47" s="38">
        <v>45</v>
      </c>
      <c r="H47" s="38">
        <v>50</v>
      </c>
      <c r="I47" s="38">
        <v>55</v>
      </c>
      <c r="J47" s="38">
        <v>75</v>
      </c>
      <c r="K47" s="38">
        <v>65</v>
      </c>
      <c r="L47" s="38">
        <v>30</v>
      </c>
      <c r="M47" s="38">
        <v>1</v>
      </c>
      <c r="N47" s="39" t="b">
        <v>0</v>
      </c>
    </row>
    <row r="48" spans="2:14" ht="15.75" hidden="1" customHeight="1" x14ac:dyDescent="0.25">
      <c r="B48" s="36">
        <v>44</v>
      </c>
      <c r="C48" s="37" t="s">
        <v>198</v>
      </c>
      <c r="D48" s="37" t="s">
        <v>146</v>
      </c>
      <c r="E48" s="37" t="s">
        <v>147</v>
      </c>
      <c r="F48" s="38">
        <v>395</v>
      </c>
      <c r="G48" s="38">
        <v>60</v>
      </c>
      <c r="H48" s="38">
        <v>65</v>
      </c>
      <c r="I48" s="38">
        <v>70</v>
      </c>
      <c r="J48" s="38">
        <v>85</v>
      </c>
      <c r="K48" s="38">
        <v>75</v>
      </c>
      <c r="L48" s="38">
        <v>40</v>
      </c>
      <c r="M48" s="38">
        <v>2</v>
      </c>
      <c r="N48" s="39" t="b">
        <v>0</v>
      </c>
    </row>
    <row r="49" spans="2:14" ht="15.75" hidden="1" customHeight="1" x14ac:dyDescent="0.25">
      <c r="B49" s="36">
        <v>45</v>
      </c>
      <c r="C49" s="37" t="s">
        <v>199</v>
      </c>
      <c r="D49" s="37" t="s">
        <v>146</v>
      </c>
      <c r="E49" s="37" t="s">
        <v>147</v>
      </c>
      <c r="F49" s="38">
        <v>490</v>
      </c>
      <c r="G49" s="38">
        <v>75</v>
      </c>
      <c r="H49" s="38">
        <v>80</v>
      </c>
      <c r="I49" s="38">
        <v>85</v>
      </c>
      <c r="J49" s="38">
        <v>110</v>
      </c>
      <c r="K49" s="38">
        <v>90</v>
      </c>
      <c r="L49" s="38">
        <v>50</v>
      </c>
      <c r="M49" s="38">
        <v>3</v>
      </c>
      <c r="N49" s="39" t="b">
        <v>0</v>
      </c>
    </row>
    <row r="50" spans="2:14" ht="15.75" hidden="1" customHeight="1" x14ac:dyDescent="0.25">
      <c r="B50" s="36">
        <v>46</v>
      </c>
      <c r="C50" s="37" t="s">
        <v>200</v>
      </c>
      <c r="D50" s="37" t="s">
        <v>160</v>
      </c>
      <c r="E50" s="37" t="s">
        <v>146</v>
      </c>
      <c r="F50" s="38">
        <v>285</v>
      </c>
      <c r="G50" s="38">
        <v>35</v>
      </c>
      <c r="H50" s="38">
        <v>70</v>
      </c>
      <c r="I50" s="38">
        <v>55</v>
      </c>
      <c r="J50" s="38">
        <v>45</v>
      </c>
      <c r="K50" s="38">
        <v>55</v>
      </c>
      <c r="L50" s="38">
        <v>25</v>
      </c>
      <c r="M50" s="38">
        <v>1</v>
      </c>
      <c r="N50" s="39" t="b">
        <v>0</v>
      </c>
    </row>
    <row r="51" spans="2:14" ht="15.75" hidden="1" customHeight="1" x14ac:dyDescent="0.25">
      <c r="B51" s="36">
        <v>47</v>
      </c>
      <c r="C51" s="37" t="s">
        <v>201</v>
      </c>
      <c r="D51" s="37" t="s">
        <v>160</v>
      </c>
      <c r="E51" s="37" t="s">
        <v>146</v>
      </c>
      <c r="F51" s="38">
        <v>405</v>
      </c>
      <c r="G51" s="38">
        <v>60</v>
      </c>
      <c r="H51" s="38">
        <v>95</v>
      </c>
      <c r="I51" s="38">
        <v>80</v>
      </c>
      <c r="J51" s="38">
        <v>60</v>
      </c>
      <c r="K51" s="38">
        <v>80</v>
      </c>
      <c r="L51" s="38">
        <v>30</v>
      </c>
      <c r="M51" s="38">
        <v>2</v>
      </c>
      <c r="N51" s="39" t="b">
        <v>0</v>
      </c>
    </row>
    <row r="52" spans="2:14" ht="15.75" hidden="1" customHeight="1" x14ac:dyDescent="0.25">
      <c r="B52" s="36">
        <v>48</v>
      </c>
      <c r="C52" s="37" t="s">
        <v>202</v>
      </c>
      <c r="D52" s="37" t="s">
        <v>160</v>
      </c>
      <c r="E52" s="37" t="s">
        <v>147</v>
      </c>
      <c r="F52" s="38">
        <v>305</v>
      </c>
      <c r="G52" s="38">
        <v>60</v>
      </c>
      <c r="H52" s="38">
        <v>55</v>
      </c>
      <c r="I52" s="38">
        <v>50</v>
      </c>
      <c r="J52" s="38">
        <v>40</v>
      </c>
      <c r="K52" s="38">
        <v>55</v>
      </c>
      <c r="L52" s="38">
        <v>45</v>
      </c>
      <c r="M52" s="38">
        <v>1</v>
      </c>
      <c r="N52" s="39" t="b">
        <v>0</v>
      </c>
    </row>
    <row r="53" spans="2:14" ht="15.75" hidden="1" customHeight="1" x14ac:dyDescent="0.25">
      <c r="B53" s="36">
        <v>49</v>
      </c>
      <c r="C53" s="37" t="s">
        <v>203</v>
      </c>
      <c r="D53" s="37" t="s">
        <v>160</v>
      </c>
      <c r="E53" s="37" t="s">
        <v>147</v>
      </c>
      <c r="F53" s="38">
        <v>450</v>
      </c>
      <c r="G53" s="38">
        <v>70</v>
      </c>
      <c r="H53" s="38">
        <v>65</v>
      </c>
      <c r="I53" s="38">
        <v>60</v>
      </c>
      <c r="J53" s="38">
        <v>90</v>
      </c>
      <c r="K53" s="38">
        <v>75</v>
      </c>
      <c r="L53" s="38">
        <v>90</v>
      </c>
      <c r="M53" s="38">
        <v>2</v>
      </c>
      <c r="N53" s="39" t="b">
        <v>0</v>
      </c>
    </row>
    <row r="54" spans="2:14" ht="15.75" hidden="1" customHeight="1" x14ac:dyDescent="0.25">
      <c r="B54" s="36">
        <v>50</v>
      </c>
      <c r="C54" s="37" t="s">
        <v>204</v>
      </c>
      <c r="D54" s="37" t="s">
        <v>180</v>
      </c>
      <c r="E54" s="1"/>
      <c r="F54" s="38">
        <v>265</v>
      </c>
      <c r="G54" s="38">
        <v>10</v>
      </c>
      <c r="H54" s="38">
        <v>55</v>
      </c>
      <c r="I54" s="38">
        <v>25</v>
      </c>
      <c r="J54" s="38">
        <v>35</v>
      </c>
      <c r="K54" s="38">
        <v>45</v>
      </c>
      <c r="L54" s="38">
        <v>95</v>
      </c>
      <c r="M54" s="38">
        <v>1</v>
      </c>
      <c r="N54" s="39" t="b">
        <v>0</v>
      </c>
    </row>
    <row r="55" spans="2:14" ht="15.75" hidden="1" customHeight="1" x14ac:dyDescent="0.25">
      <c r="B55" s="36">
        <v>51</v>
      </c>
      <c r="C55" s="37" t="s">
        <v>205</v>
      </c>
      <c r="D55" s="37" t="s">
        <v>180</v>
      </c>
      <c r="E55" s="1"/>
      <c r="F55" s="38">
        <v>405</v>
      </c>
      <c r="G55" s="38">
        <v>35</v>
      </c>
      <c r="H55" s="38">
        <v>80</v>
      </c>
      <c r="I55" s="38">
        <v>50</v>
      </c>
      <c r="J55" s="38">
        <v>50</v>
      </c>
      <c r="K55" s="38">
        <v>70</v>
      </c>
      <c r="L55" s="38">
        <v>120</v>
      </c>
      <c r="M55" s="38">
        <v>2</v>
      </c>
      <c r="N55" s="39" t="b">
        <v>0</v>
      </c>
    </row>
    <row r="56" spans="2:14" ht="15.75" hidden="1" customHeight="1" x14ac:dyDescent="0.25">
      <c r="B56" s="36">
        <v>52</v>
      </c>
      <c r="C56" s="37" t="s">
        <v>206</v>
      </c>
      <c r="D56" s="37" t="s">
        <v>167</v>
      </c>
      <c r="E56" s="1"/>
      <c r="F56" s="38">
        <v>290</v>
      </c>
      <c r="G56" s="38">
        <v>40</v>
      </c>
      <c r="H56" s="38">
        <v>45</v>
      </c>
      <c r="I56" s="38">
        <v>35</v>
      </c>
      <c r="J56" s="38">
        <v>40</v>
      </c>
      <c r="K56" s="38">
        <v>40</v>
      </c>
      <c r="L56" s="38">
        <v>90</v>
      </c>
      <c r="M56" s="38">
        <v>1</v>
      </c>
      <c r="N56" s="39" t="b">
        <v>0</v>
      </c>
    </row>
    <row r="57" spans="2:14" ht="15.75" hidden="1" customHeight="1" x14ac:dyDescent="0.25">
      <c r="B57" s="36">
        <v>53</v>
      </c>
      <c r="C57" s="37" t="s">
        <v>207</v>
      </c>
      <c r="D57" s="37" t="s">
        <v>167</v>
      </c>
      <c r="E57" s="1"/>
      <c r="F57" s="38">
        <v>440</v>
      </c>
      <c r="G57" s="38">
        <v>65</v>
      </c>
      <c r="H57" s="38">
        <v>70</v>
      </c>
      <c r="I57" s="38">
        <v>60</v>
      </c>
      <c r="J57" s="38">
        <v>65</v>
      </c>
      <c r="K57" s="38">
        <v>65</v>
      </c>
      <c r="L57" s="38">
        <v>115</v>
      </c>
      <c r="M57" s="38">
        <v>2</v>
      </c>
      <c r="N57" s="39" t="b">
        <v>0</v>
      </c>
    </row>
    <row r="58" spans="2:14" ht="15.75" hidden="1" customHeight="1" x14ac:dyDescent="0.25">
      <c r="B58" s="36">
        <v>54</v>
      </c>
      <c r="C58" s="37" t="s">
        <v>208</v>
      </c>
      <c r="D58" s="37" t="s">
        <v>156</v>
      </c>
      <c r="E58" s="1"/>
      <c r="F58" s="38">
        <v>320</v>
      </c>
      <c r="G58" s="38">
        <v>50</v>
      </c>
      <c r="H58" s="38">
        <v>52</v>
      </c>
      <c r="I58" s="38">
        <v>48</v>
      </c>
      <c r="J58" s="38">
        <v>65</v>
      </c>
      <c r="K58" s="38">
        <v>50</v>
      </c>
      <c r="L58" s="38">
        <v>55</v>
      </c>
      <c r="M58" s="38">
        <v>1</v>
      </c>
      <c r="N58" s="39" t="b">
        <v>0</v>
      </c>
    </row>
    <row r="59" spans="2:14" ht="15.75" hidden="1" customHeight="1" x14ac:dyDescent="0.25">
      <c r="B59" s="36">
        <v>55</v>
      </c>
      <c r="C59" s="37" t="s">
        <v>209</v>
      </c>
      <c r="D59" s="37" t="s">
        <v>156</v>
      </c>
      <c r="E59" s="1"/>
      <c r="F59" s="38">
        <v>500</v>
      </c>
      <c r="G59" s="38">
        <v>80</v>
      </c>
      <c r="H59" s="38">
        <v>82</v>
      </c>
      <c r="I59" s="38">
        <v>78</v>
      </c>
      <c r="J59" s="38">
        <v>95</v>
      </c>
      <c r="K59" s="38">
        <v>80</v>
      </c>
      <c r="L59" s="38">
        <v>85</v>
      </c>
      <c r="M59" s="38">
        <v>2</v>
      </c>
      <c r="N59" s="39" t="b">
        <v>0</v>
      </c>
    </row>
    <row r="60" spans="2:14" ht="15.75" hidden="1" customHeight="1" x14ac:dyDescent="0.25">
      <c r="B60" s="36">
        <v>56</v>
      </c>
      <c r="C60" s="37" t="s">
        <v>210</v>
      </c>
      <c r="D60" s="37" t="s">
        <v>211</v>
      </c>
      <c r="E60" s="1"/>
      <c r="F60" s="38">
        <v>305</v>
      </c>
      <c r="G60" s="38">
        <v>40</v>
      </c>
      <c r="H60" s="38">
        <v>80</v>
      </c>
      <c r="I60" s="38">
        <v>35</v>
      </c>
      <c r="J60" s="38">
        <v>35</v>
      </c>
      <c r="K60" s="38">
        <v>45</v>
      </c>
      <c r="L60" s="38">
        <v>70</v>
      </c>
      <c r="M60" s="38">
        <v>1</v>
      </c>
      <c r="N60" s="39" t="b">
        <v>0</v>
      </c>
    </row>
    <row r="61" spans="2:14" ht="15.75" hidden="1" customHeight="1" x14ac:dyDescent="0.25">
      <c r="B61" s="36">
        <v>57</v>
      </c>
      <c r="C61" s="37" t="s">
        <v>212</v>
      </c>
      <c r="D61" s="37" t="s">
        <v>211</v>
      </c>
      <c r="E61" s="1"/>
      <c r="F61" s="38">
        <v>455</v>
      </c>
      <c r="G61" s="38">
        <v>65</v>
      </c>
      <c r="H61" s="38">
        <v>105</v>
      </c>
      <c r="I61" s="38">
        <v>60</v>
      </c>
      <c r="J61" s="38">
        <v>60</v>
      </c>
      <c r="K61" s="38">
        <v>70</v>
      </c>
      <c r="L61" s="38">
        <v>95</v>
      </c>
      <c r="M61" s="38">
        <v>2</v>
      </c>
      <c r="N61" s="39" t="b">
        <v>0</v>
      </c>
    </row>
    <row r="62" spans="2:14" ht="15.75" hidden="1" customHeight="1" x14ac:dyDescent="0.25">
      <c r="B62" s="36">
        <v>58</v>
      </c>
      <c r="C62" s="37" t="s">
        <v>213</v>
      </c>
      <c r="D62" s="37" t="s">
        <v>151</v>
      </c>
      <c r="E62" s="1"/>
      <c r="F62" s="38">
        <v>350</v>
      </c>
      <c r="G62" s="38">
        <v>55</v>
      </c>
      <c r="H62" s="38">
        <v>70</v>
      </c>
      <c r="I62" s="38">
        <v>45</v>
      </c>
      <c r="J62" s="38">
        <v>70</v>
      </c>
      <c r="K62" s="38">
        <v>50</v>
      </c>
      <c r="L62" s="38">
        <v>60</v>
      </c>
      <c r="M62" s="38">
        <v>1</v>
      </c>
      <c r="N62" s="39" t="b">
        <v>0</v>
      </c>
    </row>
    <row r="63" spans="2:14" ht="15.75" hidden="1" customHeight="1" x14ac:dyDescent="0.25">
      <c r="B63" s="36">
        <v>59</v>
      </c>
      <c r="C63" s="37" t="s">
        <v>214</v>
      </c>
      <c r="D63" s="37" t="s">
        <v>151</v>
      </c>
      <c r="E63" s="1"/>
      <c r="F63" s="38">
        <v>555</v>
      </c>
      <c r="G63" s="38">
        <v>90</v>
      </c>
      <c r="H63" s="38">
        <v>110</v>
      </c>
      <c r="I63" s="38">
        <v>80</v>
      </c>
      <c r="J63" s="38">
        <v>100</v>
      </c>
      <c r="K63" s="38">
        <v>80</v>
      </c>
      <c r="L63" s="38">
        <v>95</v>
      </c>
      <c r="M63" s="38">
        <v>2</v>
      </c>
      <c r="N63" s="39" t="b">
        <v>0</v>
      </c>
    </row>
    <row r="64" spans="2:14" ht="15.75" hidden="1" customHeight="1" x14ac:dyDescent="0.25">
      <c r="B64" s="36">
        <v>60</v>
      </c>
      <c r="C64" s="37" t="s">
        <v>215</v>
      </c>
      <c r="D64" s="37" t="s">
        <v>156</v>
      </c>
      <c r="E64" s="1"/>
      <c r="F64" s="38">
        <v>300</v>
      </c>
      <c r="G64" s="38">
        <v>40</v>
      </c>
      <c r="H64" s="38">
        <v>50</v>
      </c>
      <c r="I64" s="38">
        <v>40</v>
      </c>
      <c r="J64" s="38">
        <v>40</v>
      </c>
      <c r="K64" s="38">
        <v>40</v>
      </c>
      <c r="L64" s="38">
        <v>90</v>
      </c>
      <c r="M64" s="38">
        <v>1</v>
      </c>
      <c r="N64" s="39" t="b">
        <v>0</v>
      </c>
    </row>
    <row r="65" spans="2:14" ht="15.75" hidden="1" customHeight="1" x14ac:dyDescent="0.25">
      <c r="B65" s="36">
        <v>61</v>
      </c>
      <c r="C65" s="37" t="s">
        <v>216</v>
      </c>
      <c r="D65" s="37" t="s">
        <v>156</v>
      </c>
      <c r="E65" s="1"/>
      <c r="F65" s="38">
        <v>385</v>
      </c>
      <c r="G65" s="38">
        <v>65</v>
      </c>
      <c r="H65" s="38">
        <v>65</v>
      </c>
      <c r="I65" s="38">
        <v>65</v>
      </c>
      <c r="J65" s="38">
        <v>50</v>
      </c>
      <c r="K65" s="38">
        <v>50</v>
      </c>
      <c r="L65" s="38">
        <v>90</v>
      </c>
      <c r="M65" s="38">
        <v>2</v>
      </c>
      <c r="N65" s="39" t="b">
        <v>0</v>
      </c>
    </row>
    <row r="66" spans="2:14" ht="15.75" hidden="1" customHeight="1" x14ac:dyDescent="0.25">
      <c r="B66" s="36">
        <v>62</v>
      </c>
      <c r="C66" s="37" t="s">
        <v>217</v>
      </c>
      <c r="D66" s="37" t="s">
        <v>156</v>
      </c>
      <c r="E66" s="37" t="s">
        <v>211</v>
      </c>
      <c r="F66" s="38">
        <v>510</v>
      </c>
      <c r="G66" s="38">
        <v>90</v>
      </c>
      <c r="H66" s="38">
        <v>95</v>
      </c>
      <c r="I66" s="38">
        <v>95</v>
      </c>
      <c r="J66" s="38">
        <v>70</v>
      </c>
      <c r="K66" s="38">
        <v>90</v>
      </c>
      <c r="L66" s="38">
        <v>70</v>
      </c>
      <c r="M66" s="38">
        <v>3</v>
      </c>
      <c r="N66" s="39" t="b">
        <v>0</v>
      </c>
    </row>
    <row r="67" spans="2:14" ht="15.75" hidden="1" customHeight="1" x14ac:dyDescent="0.25">
      <c r="B67" s="36">
        <v>63</v>
      </c>
      <c r="C67" s="37" t="s">
        <v>218</v>
      </c>
      <c r="D67" s="37" t="s">
        <v>219</v>
      </c>
      <c r="E67" s="1"/>
      <c r="F67" s="38">
        <v>310</v>
      </c>
      <c r="G67" s="38">
        <v>25</v>
      </c>
      <c r="H67" s="38">
        <v>20</v>
      </c>
      <c r="I67" s="38">
        <v>15</v>
      </c>
      <c r="J67" s="38">
        <v>105</v>
      </c>
      <c r="K67" s="38">
        <v>55</v>
      </c>
      <c r="L67" s="38">
        <v>90</v>
      </c>
      <c r="M67" s="38">
        <v>1</v>
      </c>
      <c r="N67" s="39" t="b">
        <v>0</v>
      </c>
    </row>
    <row r="68" spans="2:14" ht="15.75" hidden="1" customHeight="1" x14ac:dyDescent="0.25">
      <c r="B68" s="36">
        <v>64</v>
      </c>
      <c r="C68" s="37" t="s">
        <v>220</v>
      </c>
      <c r="D68" s="37" t="s">
        <v>219</v>
      </c>
      <c r="E68" s="1"/>
      <c r="F68" s="38">
        <v>400</v>
      </c>
      <c r="G68" s="38">
        <v>40</v>
      </c>
      <c r="H68" s="38">
        <v>35</v>
      </c>
      <c r="I68" s="38">
        <v>30</v>
      </c>
      <c r="J68" s="38">
        <v>120</v>
      </c>
      <c r="K68" s="38">
        <v>70</v>
      </c>
      <c r="L68" s="38">
        <v>105</v>
      </c>
      <c r="M68" s="38">
        <v>2</v>
      </c>
      <c r="N68" s="39" t="b">
        <v>0</v>
      </c>
    </row>
    <row r="69" spans="2:14" ht="15.75" hidden="1" customHeight="1" x14ac:dyDescent="0.25">
      <c r="B69" s="36">
        <v>65</v>
      </c>
      <c r="C69" s="37" t="s">
        <v>221</v>
      </c>
      <c r="D69" s="37" t="s">
        <v>219</v>
      </c>
      <c r="E69" s="1"/>
      <c r="F69" s="38">
        <v>500</v>
      </c>
      <c r="G69" s="38">
        <v>55</v>
      </c>
      <c r="H69" s="38">
        <v>50</v>
      </c>
      <c r="I69" s="38">
        <v>45</v>
      </c>
      <c r="J69" s="38">
        <v>135</v>
      </c>
      <c r="K69" s="38">
        <v>95</v>
      </c>
      <c r="L69" s="38">
        <v>120</v>
      </c>
      <c r="M69" s="38">
        <v>3</v>
      </c>
      <c r="N69" s="39" t="b">
        <v>0</v>
      </c>
    </row>
    <row r="70" spans="2:14" ht="15.75" hidden="1" customHeight="1" x14ac:dyDescent="0.25">
      <c r="B70" s="36">
        <v>66</v>
      </c>
      <c r="C70" s="37" t="s">
        <v>222</v>
      </c>
      <c r="D70" s="37" t="s">
        <v>211</v>
      </c>
      <c r="E70" s="1"/>
      <c r="F70" s="38">
        <v>305</v>
      </c>
      <c r="G70" s="38">
        <v>70</v>
      </c>
      <c r="H70" s="38">
        <v>80</v>
      </c>
      <c r="I70" s="38">
        <v>50</v>
      </c>
      <c r="J70" s="38">
        <v>35</v>
      </c>
      <c r="K70" s="38">
        <v>35</v>
      </c>
      <c r="L70" s="38">
        <v>35</v>
      </c>
      <c r="M70" s="38">
        <v>1</v>
      </c>
      <c r="N70" s="39" t="b">
        <v>0</v>
      </c>
    </row>
    <row r="71" spans="2:14" ht="15.75" hidden="1" customHeight="1" x14ac:dyDescent="0.25">
      <c r="B71" s="36">
        <v>67</v>
      </c>
      <c r="C71" s="37" t="s">
        <v>223</v>
      </c>
      <c r="D71" s="37" t="s">
        <v>211</v>
      </c>
      <c r="E71" s="1"/>
      <c r="F71" s="38">
        <v>405</v>
      </c>
      <c r="G71" s="38">
        <v>80</v>
      </c>
      <c r="H71" s="38">
        <v>100</v>
      </c>
      <c r="I71" s="38">
        <v>70</v>
      </c>
      <c r="J71" s="38">
        <v>50</v>
      </c>
      <c r="K71" s="38">
        <v>60</v>
      </c>
      <c r="L71" s="38">
        <v>45</v>
      </c>
      <c r="M71" s="38">
        <v>2</v>
      </c>
      <c r="N71" s="39" t="b">
        <v>0</v>
      </c>
    </row>
    <row r="72" spans="2:14" ht="15.75" hidden="1" customHeight="1" x14ac:dyDescent="0.25">
      <c r="B72" s="36">
        <v>68</v>
      </c>
      <c r="C72" s="37" t="s">
        <v>224</v>
      </c>
      <c r="D72" s="37" t="s">
        <v>211</v>
      </c>
      <c r="E72" s="1"/>
      <c r="F72" s="38">
        <v>505</v>
      </c>
      <c r="G72" s="38">
        <v>90</v>
      </c>
      <c r="H72" s="38">
        <v>130</v>
      </c>
      <c r="I72" s="38">
        <v>80</v>
      </c>
      <c r="J72" s="38">
        <v>65</v>
      </c>
      <c r="K72" s="38">
        <v>85</v>
      </c>
      <c r="L72" s="38">
        <v>55</v>
      </c>
      <c r="M72" s="38">
        <v>3</v>
      </c>
      <c r="N72" s="39" t="b">
        <v>0</v>
      </c>
    </row>
    <row r="73" spans="2:14" ht="15.75" hidden="1" customHeight="1" x14ac:dyDescent="0.25">
      <c r="B73" s="36">
        <v>69</v>
      </c>
      <c r="C73" s="37" t="s">
        <v>225</v>
      </c>
      <c r="D73" s="37" t="s">
        <v>146</v>
      </c>
      <c r="E73" s="37" t="s">
        <v>147</v>
      </c>
      <c r="F73" s="38">
        <v>300</v>
      </c>
      <c r="G73" s="38">
        <v>50</v>
      </c>
      <c r="H73" s="38">
        <v>75</v>
      </c>
      <c r="I73" s="38">
        <v>35</v>
      </c>
      <c r="J73" s="38">
        <v>70</v>
      </c>
      <c r="K73" s="38">
        <v>30</v>
      </c>
      <c r="L73" s="38">
        <v>40</v>
      </c>
      <c r="M73" s="38">
        <v>1</v>
      </c>
      <c r="N73" s="39" t="b">
        <v>0</v>
      </c>
    </row>
    <row r="74" spans="2:14" ht="15.75" hidden="1" customHeight="1" x14ac:dyDescent="0.25">
      <c r="B74" s="36">
        <v>70</v>
      </c>
      <c r="C74" s="37" t="s">
        <v>226</v>
      </c>
      <c r="D74" s="37" t="s">
        <v>146</v>
      </c>
      <c r="E74" s="37" t="s">
        <v>147</v>
      </c>
      <c r="F74" s="38">
        <v>390</v>
      </c>
      <c r="G74" s="38">
        <v>65</v>
      </c>
      <c r="H74" s="38">
        <v>90</v>
      </c>
      <c r="I74" s="38">
        <v>50</v>
      </c>
      <c r="J74" s="38">
        <v>85</v>
      </c>
      <c r="K74" s="38">
        <v>45</v>
      </c>
      <c r="L74" s="38">
        <v>55</v>
      </c>
      <c r="M74" s="38">
        <v>2</v>
      </c>
      <c r="N74" s="39" t="b">
        <v>0</v>
      </c>
    </row>
    <row r="75" spans="2:14" ht="15.75" hidden="1" customHeight="1" x14ac:dyDescent="0.25">
      <c r="B75" s="36">
        <v>71</v>
      </c>
      <c r="C75" s="37" t="s">
        <v>227</v>
      </c>
      <c r="D75" s="37" t="s">
        <v>146</v>
      </c>
      <c r="E75" s="37" t="s">
        <v>147</v>
      </c>
      <c r="F75" s="38">
        <v>490</v>
      </c>
      <c r="G75" s="38">
        <v>80</v>
      </c>
      <c r="H75" s="38">
        <v>105</v>
      </c>
      <c r="I75" s="38">
        <v>65</v>
      </c>
      <c r="J75" s="38">
        <v>100</v>
      </c>
      <c r="K75" s="38">
        <v>70</v>
      </c>
      <c r="L75" s="38">
        <v>70</v>
      </c>
      <c r="M75" s="38">
        <v>3</v>
      </c>
      <c r="N75" s="39" t="b">
        <v>0</v>
      </c>
    </row>
    <row r="76" spans="2:14" ht="15.75" hidden="1" customHeight="1" x14ac:dyDescent="0.25">
      <c r="B76" s="36">
        <v>72</v>
      </c>
      <c r="C76" s="37" t="s">
        <v>228</v>
      </c>
      <c r="D76" s="37" t="s">
        <v>156</v>
      </c>
      <c r="E76" s="37" t="s">
        <v>147</v>
      </c>
      <c r="F76" s="38">
        <v>335</v>
      </c>
      <c r="G76" s="38">
        <v>40</v>
      </c>
      <c r="H76" s="38">
        <v>40</v>
      </c>
      <c r="I76" s="38">
        <v>35</v>
      </c>
      <c r="J76" s="38">
        <v>50</v>
      </c>
      <c r="K76" s="38">
        <v>100</v>
      </c>
      <c r="L76" s="38">
        <v>70</v>
      </c>
      <c r="M76" s="38">
        <v>1</v>
      </c>
      <c r="N76" s="39" t="b">
        <v>0</v>
      </c>
    </row>
    <row r="77" spans="2:14" ht="15.75" hidden="1" customHeight="1" x14ac:dyDescent="0.25">
      <c r="B77" s="36">
        <v>73</v>
      </c>
      <c r="C77" s="37" t="s">
        <v>229</v>
      </c>
      <c r="D77" s="37" t="s">
        <v>156</v>
      </c>
      <c r="E77" s="37" t="s">
        <v>147</v>
      </c>
      <c r="F77" s="38">
        <v>515</v>
      </c>
      <c r="G77" s="38">
        <v>80</v>
      </c>
      <c r="H77" s="38">
        <v>70</v>
      </c>
      <c r="I77" s="38">
        <v>65</v>
      </c>
      <c r="J77" s="38">
        <v>80</v>
      </c>
      <c r="K77" s="38">
        <v>120</v>
      </c>
      <c r="L77" s="38">
        <v>100</v>
      </c>
      <c r="M77" s="38">
        <v>2</v>
      </c>
      <c r="N77" s="39" t="b">
        <v>0</v>
      </c>
    </row>
    <row r="78" spans="2:14" ht="15.75" hidden="1" customHeight="1" x14ac:dyDescent="0.25">
      <c r="B78" s="36">
        <v>74</v>
      </c>
      <c r="C78" s="37" t="s">
        <v>230</v>
      </c>
      <c r="D78" s="37" t="s">
        <v>231</v>
      </c>
      <c r="E78" s="37" t="s">
        <v>180</v>
      </c>
      <c r="F78" s="38">
        <v>300</v>
      </c>
      <c r="G78" s="38">
        <v>40</v>
      </c>
      <c r="H78" s="38">
        <v>80</v>
      </c>
      <c r="I78" s="38">
        <v>100</v>
      </c>
      <c r="J78" s="38">
        <v>30</v>
      </c>
      <c r="K78" s="38">
        <v>30</v>
      </c>
      <c r="L78" s="38">
        <v>20</v>
      </c>
      <c r="M78" s="38">
        <v>1</v>
      </c>
      <c r="N78" s="39" t="b">
        <v>0</v>
      </c>
    </row>
    <row r="79" spans="2:14" ht="15.75" hidden="1" customHeight="1" x14ac:dyDescent="0.25">
      <c r="B79" s="36">
        <v>75</v>
      </c>
      <c r="C79" s="37" t="s">
        <v>232</v>
      </c>
      <c r="D79" s="37" t="s">
        <v>231</v>
      </c>
      <c r="E79" s="37" t="s">
        <v>180</v>
      </c>
      <c r="F79" s="38">
        <v>390</v>
      </c>
      <c r="G79" s="38">
        <v>55</v>
      </c>
      <c r="H79" s="38">
        <v>95</v>
      </c>
      <c r="I79" s="38">
        <v>115</v>
      </c>
      <c r="J79" s="38">
        <v>45</v>
      </c>
      <c r="K79" s="38">
        <v>45</v>
      </c>
      <c r="L79" s="38">
        <v>35</v>
      </c>
      <c r="M79" s="38">
        <v>2</v>
      </c>
      <c r="N79" s="39" t="b">
        <v>0</v>
      </c>
    </row>
    <row r="80" spans="2:14" ht="15.75" hidden="1" customHeight="1" x14ac:dyDescent="0.25">
      <c r="B80" s="36">
        <v>76</v>
      </c>
      <c r="C80" s="37" t="s">
        <v>233</v>
      </c>
      <c r="D80" s="37" t="s">
        <v>231</v>
      </c>
      <c r="E80" s="37" t="s">
        <v>180</v>
      </c>
      <c r="F80" s="38">
        <v>495</v>
      </c>
      <c r="G80" s="38">
        <v>80</v>
      </c>
      <c r="H80" s="38">
        <v>120</v>
      </c>
      <c r="I80" s="38">
        <v>130</v>
      </c>
      <c r="J80" s="38">
        <v>55</v>
      </c>
      <c r="K80" s="38">
        <v>65</v>
      </c>
      <c r="L80" s="38">
        <v>45</v>
      </c>
      <c r="M80" s="38">
        <v>3</v>
      </c>
      <c r="N80" s="39" t="b">
        <v>0</v>
      </c>
    </row>
    <row r="81" spans="2:14" ht="15.75" hidden="1" customHeight="1" x14ac:dyDescent="0.25">
      <c r="B81" s="36">
        <v>77</v>
      </c>
      <c r="C81" s="37" t="s">
        <v>234</v>
      </c>
      <c r="D81" s="37" t="s">
        <v>151</v>
      </c>
      <c r="E81" s="1"/>
      <c r="F81" s="38">
        <v>410</v>
      </c>
      <c r="G81" s="38">
        <v>50</v>
      </c>
      <c r="H81" s="38">
        <v>85</v>
      </c>
      <c r="I81" s="38">
        <v>55</v>
      </c>
      <c r="J81" s="38">
        <v>65</v>
      </c>
      <c r="K81" s="38">
        <v>65</v>
      </c>
      <c r="L81" s="38">
        <v>90</v>
      </c>
      <c r="M81" s="38">
        <v>1</v>
      </c>
      <c r="N81" s="39" t="b">
        <v>0</v>
      </c>
    </row>
    <row r="82" spans="2:14" ht="15.75" hidden="1" customHeight="1" x14ac:dyDescent="0.25">
      <c r="B82" s="36">
        <v>78</v>
      </c>
      <c r="C82" s="37" t="s">
        <v>235</v>
      </c>
      <c r="D82" s="37" t="s">
        <v>151</v>
      </c>
      <c r="E82" s="1"/>
      <c r="F82" s="38">
        <v>500</v>
      </c>
      <c r="G82" s="38">
        <v>65</v>
      </c>
      <c r="H82" s="38">
        <v>100</v>
      </c>
      <c r="I82" s="38">
        <v>70</v>
      </c>
      <c r="J82" s="38">
        <v>80</v>
      </c>
      <c r="K82" s="38">
        <v>80</v>
      </c>
      <c r="L82" s="38">
        <v>105</v>
      </c>
      <c r="M82" s="38">
        <v>2</v>
      </c>
      <c r="N82" s="39" t="b">
        <v>0</v>
      </c>
    </row>
    <row r="83" spans="2:14" ht="15.75" hidden="1" customHeight="1" x14ac:dyDescent="0.25">
      <c r="B83" s="36">
        <v>79</v>
      </c>
      <c r="C83" s="37" t="s">
        <v>236</v>
      </c>
      <c r="D83" s="37" t="s">
        <v>156</v>
      </c>
      <c r="E83" s="37" t="s">
        <v>219</v>
      </c>
      <c r="F83" s="38">
        <v>315</v>
      </c>
      <c r="G83" s="38">
        <v>90</v>
      </c>
      <c r="H83" s="38">
        <v>65</v>
      </c>
      <c r="I83" s="38">
        <v>65</v>
      </c>
      <c r="J83" s="38">
        <v>40</v>
      </c>
      <c r="K83" s="38">
        <v>40</v>
      </c>
      <c r="L83" s="38">
        <v>15</v>
      </c>
      <c r="M83" s="38">
        <v>1</v>
      </c>
      <c r="N83" s="39" t="b">
        <v>0</v>
      </c>
    </row>
    <row r="84" spans="2:14" ht="15.75" hidden="1" customHeight="1" x14ac:dyDescent="0.25">
      <c r="B84" s="36">
        <v>80</v>
      </c>
      <c r="C84" s="37" t="s">
        <v>237</v>
      </c>
      <c r="D84" s="37" t="s">
        <v>156</v>
      </c>
      <c r="E84" s="37" t="s">
        <v>219</v>
      </c>
      <c r="F84" s="38">
        <v>490</v>
      </c>
      <c r="G84" s="38">
        <v>95</v>
      </c>
      <c r="H84" s="38">
        <v>75</v>
      </c>
      <c r="I84" s="38">
        <v>110</v>
      </c>
      <c r="J84" s="38">
        <v>100</v>
      </c>
      <c r="K84" s="38">
        <v>80</v>
      </c>
      <c r="L84" s="38">
        <v>30</v>
      </c>
      <c r="M84" s="38">
        <v>2</v>
      </c>
      <c r="N84" s="39" t="b">
        <v>0</v>
      </c>
    </row>
    <row r="85" spans="2:14" ht="15.75" hidden="1" customHeight="1" x14ac:dyDescent="0.25">
      <c r="B85" s="36">
        <v>81</v>
      </c>
      <c r="C85" s="37" t="s">
        <v>238</v>
      </c>
      <c r="D85" s="37" t="s">
        <v>177</v>
      </c>
      <c r="E85" s="37" t="s">
        <v>239</v>
      </c>
      <c r="F85" s="38">
        <v>325</v>
      </c>
      <c r="G85" s="38">
        <v>25</v>
      </c>
      <c r="H85" s="38">
        <v>35</v>
      </c>
      <c r="I85" s="38">
        <v>70</v>
      </c>
      <c r="J85" s="38">
        <v>95</v>
      </c>
      <c r="K85" s="38">
        <v>55</v>
      </c>
      <c r="L85" s="38">
        <v>45</v>
      </c>
      <c r="M85" s="38">
        <v>1</v>
      </c>
      <c r="N85" s="39" t="b">
        <v>0</v>
      </c>
    </row>
    <row r="86" spans="2:14" ht="15.75" hidden="1" customHeight="1" x14ac:dyDescent="0.25">
      <c r="B86" s="36">
        <v>82</v>
      </c>
      <c r="C86" s="37" t="s">
        <v>240</v>
      </c>
      <c r="D86" s="37" t="s">
        <v>177</v>
      </c>
      <c r="E86" s="37" t="s">
        <v>239</v>
      </c>
      <c r="F86" s="38">
        <v>465</v>
      </c>
      <c r="G86" s="38">
        <v>50</v>
      </c>
      <c r="H86" s="38">
        <v>60</v>
      </c>
      <c r="I86" s="38">
        <v>95</v>
      </c>
      <c r="J86" s="38">
        <v>120</v>
      </c>
      <c r="K86" s="38">
        <v>70</v>
      </c>
      <c r="L86" s="38">
        <v>70</v>
      </c>
      <c r="M86" s="38">
        <v>2</v>
      </c>
      <c r="N86" s="39" t="b">
        <v>0</v>
      </c>
    </row>
    <row r="87" spans="2:14" ht="15.75" hidden="1" customHeight="1" x14ac:dyDescent="0.25">
      <c r="B87" s="36">
        <v>83</v>
      </c>
      <c r="C87" s="37" t="s">
        <v>241</v>
      </c>
      <c r="D87" s="37" t="s">
        <v>167</v>
      </c>
      <c r="E87" s="37" t="s">
        <v>154</v>
      </c>
      <c r="F87" s="38">
        <v>352</v>
      </c>
      <c r="G87" s="38">
        <v>52</v>
      </c>
      <c r="H87" s="38">
        <v>65</v>
      </c>
      <c r="I87" s="38">
        <v>55</v>
      </c>
      <c r="J87" s="38">
        <v>58</v>
      </c>
      <c r="K87" s="38">
        <v>62</v>
      </c>
      <c r="L87" s="38">
        <v>60</v>
      </c>
      <c r="M87" s="38">
        <v>1</v>
      </c>
      <c r="N87" s="39" t="b">
        <v>0</v>
      </c>
    </row>
    <row r="88" spans="2:14" ht="15.75" hidden="1" customHeight="1" x14ac:dyDescent="0.25">
      <c r="B88" s="36">
        <v>84</v>
      </c>
      <c r="C88" s="37" t="s">
        <v>242</v>
      </c>
      <c r="D88" s="37" t="s">
        <v>167</v>
      </c>
      <c r="E88" s="37" t="s">
        <v>154</v>
      </c>
      <c r="F88" s="38">
        <v>310</v>
      </c>
      <c r="G88" s="38">
        <v>35</v>
      </c>
      <c r="H88" s="38">
        <v>85</v>
      </c>
      <c r="I88" s="38">
        <v>45</v>
      </c>
      <c r="J88" s="38">
        <v>35</v>
      </c>
      <c r="K88" s="38">
        <v>35</v>
      </c>
      <c r="L88" s="38">
        <v>75</v>
      </c>
      <c r="M88" s="38">
        <v>1</v>
      </c>
      <c r="N88" s="39" t="b">
        <v>0</v>
      </c>
    </row>
    <row r="89" spans="2:14" ht="15.75" hidden="1" customHeight="1" x14ac:dyDescent="0.25">
      <c r="B89" s="36">
        <v>85</v>
      </c>
      <c r="C89" s="37" t="s">
        <v>243</v>
      </c>
      <c r="D89" s="37" t="s">
        <v>167</v>
      </c>
      <c r="E89" s="37" t="s">
        <v>154</v>
      </c>
      <c r="F89" s="38">
        <v>460</v>
      </c>
      <c r="G89" s="38">
        <v>60</v>
      </c>
      <c r="H89" s="38">
        <v>110</v>
      </c>
      <c r="I89" s="38">
        <v>70</v>
      </c>
      <c r="J89" s="38">
        <v>60</v>
      </c>
      <c r="K89" s="38">
        <v>60</v>
      </c>
      <c r="L89" s="38">
        <v>100</v>
      </c>
      <c r="M89" s="38">
        <v>2</v>
      </c>
      <c r="N89" s="39" t="b">
        <v>0</v>
      </c>
    </row>
    <row r="90" spans="2:14" ht="15.75" hidden="1" customHeight="1" x14ac:dyDescent="0.25">
      <c r="B90" s="36">
        <v>86</v>
      </c>
      <c r="C90" s="37" t="s">
        <v>244</v>
      </c>
      <c r="D90" s="37" t="s">
        <v>156</v>
      </c>
      <c r="E90" s="1"/>
      <c r="F90" s="38">
        <v>325</v>
      </c>
      <c r="G90" s="38">
        <v>65</v>
      </c>
      <c r="H90" s="38">
        <v>45</v>
      </c>
      <c r="I90" s="38">
        <v>55</v>
      </c>
      <c r="J90" s="38">
        <v>45</v>
      </c>
      <c r="K90" s="38">
        <v>70</v>
      </c>
      <c r="L90" s="38">
        <v>45</v>
      </c>
      <c r="M90" s="38">
        <v>1</v>
      </c>
      <c r="N90" s="39" t="b">
        <v>0</v>
      </c>
    </row>
    <row r="91" spans="2:14" ht="15.75" hidden="1" customHeight="1" x14ac:dyDescent="0.25">
      <c r="B91" s="36">
        <v>87</v>
      </c>
      <c r="C91" s="37" t="s">
        <v>245</v>
      </c>
      <c r="D91" s="37" t="s">
        <v>156</v>
      </c>
      <c r="E91" s="37" t="s">
        <v>246</v>
      </c>
      <c r="F91" s="38">
        <v>475</v>
      </c>
      <c r="G91" s="38">
        <v>90</v>
      </c>
      <c r="H91" s="38">
        <v>70</v>
      </c>
      <c r="I91" s="38">
        <v>80</v>
      </c>
      <c r="J91" s="38">
        <v>70</v>
      </c>
      <c r="K91" s="38">
        <v>95</v>
      </c>
      <c r="L91" s="38">
        <v>70</v>
      </c>
      <c r="M91" s="38">
        <v>2</v>
      </c>
      <c r="N91" s="39" t="b">
        <v>0</v>
      </c>
    </row>
    <row r="92" spans="2:14" ht="15.75" hidden="1" customHeight="1" x14ac:dyDescent="0.25">
      <c r="B92" s="36">
        <v>88</v>
      </c>
      <c r="C92" s="37" t="s">
        <v>247</v>
      </c>
      <c r="D92" s="37" t="s">
        <v>147</v>
      </c>
      <c r="E92" s="1"/>
      <c r="F92" s="38">
        <v>325</v>
      </c>
      <c r="G92" s="38">
        <v>80</v>
      </c>
      <c r="H92" s="38">
        <v>80</v>
      </c>
      <c r="I92" s="38">
        <v>50</v>
      </c>
      <c r="J92" s="38">
        <v>40</v>
      </c>
      <c r="K92" s="38">
        <v>50</v>
      </c>
      <c r="L92" s="38">
        <v>25</v>
      </c>
      <c r="M92" s="38">
        <v>1</v>
      </c>
      <c r="N92" s="39" t="b">
        <v>0</v>
      </c>
    </row>
    <row r="93" spans="2:14" ht="15.75" hidden="1" customHeight="1" x14ac:dyDescent="0.25">
      <c r="B93" s="36">
        <v>89</v>
      </c>
      <c r="C93" s="37" t="s">
        <v>248</v>
      </c>
      <c r="D93" s="37" t="s">
        <v>147</v>
      </c>
      <c r="E93" s="1"/>
      <c r="F93" s="38">
        <v>500</v>
      </c>
      <c r="G93" s="38">
        <v>105</v>
      </c>
      <c r="H93" s="38">
        <v>105</v>
      </c>
      <c r="I93" s="38">
        <v>75</v>
      </c>
      <c r="J93" s="38">
        <v>65</v>
      </c>
      <c r="K93" s="38">
        <v>100</v>
      </c>
      <c r="L93" s="38">
        <v>50</v>
      </c>
      <c r="M93" s="38">
        <v>2</v>
      </c>
      <c r="N93" s="39" t="b">
        <v>0</v>
      </c>
    </row>
    <row r="94" spans="2:14" ht="15.75" hidden="1" customHeight="1" x14ac:dyDescent="0.25">
      <c r="B94" s="36">
        <v>90</v>
      </c>
      <c r="C94" s="37" t="s">
        <v>249</v>
      </c>
      <c r="D94" s="37" t="s">
        <v>156</v>
      </c>
      <c r="E94" s="1"/>
      <c r="F94" s="38">
        <v>305</v>
      </c>
      <c r="G94" s="38">
        <v>30</v>
      </c>
      <c r="H94" s="38">
        <v>65</v>
      </c>
      <c r="I94" s="38">
        <v>100</v>
      </c>
      <c r="J94" s="38">
        <v>45</v>
      </c>
      <c r="K94" s="38">
        <v>25</v>
      </c>
      <c r="L94" s="38">
        <v>40</v>
      </c>
      <c r="M94" s="38">
        <v>1</v>
      </c>
      <c r="N94" s="39" t="b">
        <v>0</v>
      </c>
    </row>
    <row r="95" spans="2:14" ht="15.75" customHeight="1" x14ac:dyDescent="0.25">
      <c r="B95" s="36">
        <v>91</v>
      </c>
      <c r="C95" s="37" t="s">
        <v>250</v>
      </c>
      <c r="D95" s="37" t="s">
        <v>156</v>
      </c>
      <c r="E95" s="37" t="s">
        <v>246</v>
      </c>
      <c r="F95" s="38">
        <v>525</v>
      </c>
      <c r="G95" s="38">
        <v>50</v>
      </c>
      <c r="H95" s="38">
        <v>95</v>
      </c>
      <c r="I95" s="38">
        <v>180</v>
      </c>
      <c r="J95" s="38">
        <v>85</v>
      </c>
      <c r="K95" s="38">
        <v>45</v>
      </c>
      <c r="L95" s="38">
        <v>70</v>
      </c>
      <c r="M95" s="38">
        <v>2</v>
      </c>
      <c r="N95" s="39" t="b">
        <v>0</v>
      </c>
    </row>
    <row r="96" spans="2:14" ht="15.75" hidden="1" customHeight="1" x14ac:dyDescent="0.25">
      <c r="B96" s="36">
        <v>92</v>
      </c>
      <c r="C96" s="37" t="s">
        <v>251</v>
      </c>
      <c r="D96" s="37" t="s">
        <v>252</v>
      </c>
      <c r="E96" s="37" t="s">
        <v>147</v>
      </c>
      <c r="F96" s="38">
        <v>310</v>
      </c>
      <c r="G96" s="38">
        <v>30</v>
      </c>
      <c r="H96" s="38">
        <v>35</v>
      </c>
      <c r="I96" s="38">
        <v>30</v>
      </c>
      <c r="J96" s="38">
        <v>100</v>
      </c>
      <c r="K96" s="38">
        <v>35</v>
      </c>
      <c r="L96" s="38">
        <v>80</v>
      </c>
      <c r="M96" s="38">
        <v>1</v>
      </c>
      <c r="N96" s="39" t="b">
        <v>0</v>
      </c>
    </row>
    <row r="97" spans="2:14" ht="15.75" hidden="1" customHeight="1" x14ac:dyDescent="0.25">
      <c r="B97" s="36">
        <v>93</v>
      </c>
      <c r="C97" s="37" t="s">
        <v>253</v>
      </c>
      <c r="D97" s="37" t="s">
        <v>252</v>
      </c>
      <c r="E97" s="37" t="s">
        <v>147</v>
      </c>
      <c r="F97" s="38">
        <v>405</v>
      </c>
      <c r="G97" s="38">
        <v>45</v>
      </c>
      <c r="H97" s="38">
        <v>50</v>
      </c>
      <c r="I97" s="38">
        <v>45</v>
      </c>
      <c r="J97" s="38">
        <v>115</v>
      </c>
      <c r="K97" s="38">
        <v>55</v>
      </c>
      <c r="L97" s="38">
        <v>95</v>
      </c>
      <c r="M97" s="38">
        <v>2</v>
      </c>
      <c r="N97" s="39" t="b">
        <v>0</v>
      </c>
    </row>
    <row r="98" spans="2:14" ht="15.75" hidden="1" customHeight="1" x14ac:dyDescent="0.25">
      <c r="B98" s="36">
        <v>94</v>
      </c>
      <c r="C98" s="37" t="s">
        <v>254</v>
      </c>
      <c r="D98" s="37" t="s">
        <v>252</v>
      </c>
      <c r="E98" s="37" t="s">
        <v>147</v>
      </c>
      <c r="F98" s="38">
        <v>500</v>
      </c>
      <c r="G98" s="38">
        <v>60</v>
      </c>
      <c r="H98" s="38">
        <v>65</v>
      </c>
      <c r="I98" s="38">
        <v>60</v>
      </c>
      <c r="J98" s="38">
        <v>130</v>
      </c>
      <c r="K98" s="38">
        <v>75</v>
      </c>
      <c r="L98" s="38">
        <v>110</v>
      </c>
      <c r="M98" s="38">
        <v>3</v>
      </c>
      <c r="N98" s="39" t="b">
        <v>0</v>
      </c>
    </row>
    <row r="99" spans="2:14" ht="15.75" hidden="1" customHeight="1" x14ac:dyDescent="0.25">
      <c r="B99" s="36">
        <v>95</v>
      </c>
      <c r="C99" s="37" t="s">
        <v>255</v>
      </c>
      <c r="D99" s="37" t="s">
        <v>231</v>
      </c>
      <c r="E99" s="37" t="s">
        <v>180</v>
      </c>
      <c r="F99" s="38">
        <v>385</v>
      </c>
      <c r="G99" s="38">
        <v>35</v>
      </c>
      <c r="H99" s="38">
        <v>45</v>
      </c>
      <c r="I99" s="38">
        <v>160</v>
      </c>
      <c r="J99" s="38">
        <v>30</v>
      </c>
      <c r="K99" s="38">
        <v>45</v>
      </c>
      <c r="L99" s="38">
        <v>70</v>
      </c>
      <c r="M99" s="38">
        <v>1</v>
      </c>
      <c r="N99" s="39" t="b">
        <v>0</v>
      </c>
    </row>
    <row r="100" spans="2:14" ht="15.75" hidden="1" customHeight="1" x14ac:dyDescent="0.25">
      <c r="B100" s="36">
        <v>96</v>
      </c>
      <c r="C100" s="37" t="s">
        <v>256</v>
      </c>
      <c r="D100" s="37" t="s">
        <v>219</v>
      </c>
      <c r="E100" s="1"/>
      <c r="F100" s="38">
        <v>328</v>
      </c>
      <c r="G100" s="38">
        <v>60</v>
      </c>
      <c r="H100" s="38">
        <v>48</v>
      </c>
      <c r="I100" s="38">
        <v>45</v>
      </c>
      <c r="J100" s="38">
        <v>43</v>
      </c>
      <c r="K100" s="38">
        <v>90</v>
      </c>
      <c r="L100" s="38">
        <v>42</v>
      </c>
      <c r="M100" s="38">
        <v>1</v>
      </c>
      <c r="N100" s="39" t="b">
        <v>0</v>
      </c>
    </row>
    <row r="101" spans="2:14" ht="15.75" hidden="1" customHeight="1" x14ac:dyDescent="0.25">
      <c r="B101" s="36">
        <v>97</v>
      </c>
      <c r="C101" s="37" t="s">
        <v>257</v>
      </c>
      <c r="D101" s="37" t="s">
        <v>219</v>
      </c>
      <c r="E101" s="1"/>
      <c r="F101" s="38">
        <v>483</v>
      </c>
      <c r="G101" s="38">
        <v>85</v>
      </c>
      <c r="H101" s="38">
        <v>73</v>
      </c>
      <c r="I101" s="38">
        <v>70</v>
      </c>
      <c r="J101" s="38">
        <v>73</v>
      </c>
      <c r="K101" s="38">
        <v>115</v>
      </c>
      <c r="L101" s="38">
        <v>67</v>
      </c>
      <c r="M101" s="38">
        <v>2</v>
      </c>
      <c r="N101" s="39" t="b">
        <v>0</v>
      </c>
    </row>
    <row r="102" spans="2:14" ht="15.75" hidden="1" customHeight="1" x14ac:dyDescent="0.25">
      <c r="B102" s="36">
        <v>98</v>
      </c>
      <c r="C102" s="37" t="s">
        <v>258</v>
      </c>
      <c r="D102" s="37" t="s">
        <v>156</v>
      </c>
      <c r="E102" s="1"/>
      <c r="F102" s="38">
        <v>325</v>
      </c>
      <c r="G102" s="38">
        <v>30</v>
      </c>
      <c r="H102" s="38">
        <v>105</v>
      </c>
      <c r="I102" s="38">
        <v>90</v>
      </c>
      <c r="J102" s="38">
        <v>25</v>
      </c>
      <c r="K102" s="38">
        <v>25</v>
      </c>
      <c r="L102" s="38">
        <v>50</v>
      </c>
      <c r="M102" s="38">
        <v>1</v>
      </c>
      <c r="N102" s="39" t="b">
        <v>0</v>
      </c>
    </row>
    <row r="103" spans="2:14" ht="15.75" hidden="1" customHeight="1" x14ac:dyDescent="0.25">
      <c r="B103" s="36">
        <v>99</v>
      </c>
      <c r="C103" s="37" t="s">
        <v>259</v>
      </c>
      <c r="D103" s="37" t="s">
        <v>156</v>
      </c>
      <c r="E103" s="1"/>
      <c r="F103" s="38">
        <v>475</v>
      </c>
      <c r="G103" s="38">
        <v>55</v>
      </c>
      <c r="H103" s="38">
        <v>130</v>
      </c>
      <c r="I103" s="38">
        <v>115</v>
      </c>
      <c r="J103" s="38">
        <v>50</v>
      </c>
      <c r="K103" s="38">
        <v>50</v>
      </c>
      <c r="L103" s="38">
        <v>75</v>
      </c>
      <c r="M103" s="38">
        <v>2</v>
      </c>
      <c r="N103" s="39" t="b">
        <v>0</v>
      </c>
    </row>
    <row r="104" spans="2:14" ht="15.75" hidden="1" customHeight="1" x14ac:dyDescent="0.25">
      <c r="B104" s="36">
        <v>100</v>
      </c>
      <c r="C104" s="37" t="s">
        <v>260</v>
      </c>
      <c r="D104" s="37" t="s">
        <v>177</v>
      </c>
      <c r="E104" s="1"/>
      <c r="F104" s="38">
        <v>330</v>
      </c>
      <c r="G104" s="38">
        <v>40</v>
      </c>
      <c r="H104" s="38">
        <v>30</v>
      </c>
      <c r="I104" s="38">
        <v>50</v>
      </c>
      <c r="J104" s="38">
        <v>55</v>
      </c>
      <c r="K104" s="38">
        <v>55</v>
      </c>
      <c r="L104" s="38">
        <v>100</v>
      </c>
      <c r="M104" s="38">
        <v>1</v>
      </c>
      <c r="N104" s="39" t="b">
        <v>0</v>
      </c>
    </row>
    <row r="105" spans="2:14" ht="15.75" hidden="1" customHeight="1" x14ac:dyDescent="0.25">
      <c r="B105" s="36">
        <v>101</v>
      </c>
      <c r="C105" s="37" t="s">
        <v>261</v>
      </c>
      <c r="D105" s="37" t="s">
        <v>177</v>
      </c>
      <c r="E105" s="1"/>
      <c r="F105" s="38">
        <v>480</v>
      </c>
      <c r="G105" s="38">
        <v>60</v>
      </c>
      <c r="H105" s="38">
        <v>50</v>
      </c>
      <c r="I105" s="38">
        <v>70</v>
      </c>
      <c r="J105" s="38">
        <v>80</v>
      </c>
      <c r="K105" s="38">
        <v>80</v>
      </c>
      <c r="L105" s="38">
        <v>140</v>
      </c>
      <c r="M105" s="38">
        <v>2</v>
      </c>
      <c r="N105" s="39" t="b">
        <v>0</v>
      </c>
    </row>
    <row r="106" spans="2:14" ht="15.75" hidden="1" customHeight="1" x14ac:dyDescent="0.25">
      <c r="B106" s="36">
        <v>102</v>
      </c>
      <c r="C106" s="37" t="s">
        <v>262</v>
      </c>
      <c r="D106" s="37" t="s">
        <v>146</v>
      </c>
      <c r="E106" s="37" t="s">
        <v>219</v>
      </c>
      <c r="F106" s="38">
        <v>325</v>
      </c>
      <c r="G106" s="38">
        <v>60</v>
      </c>
      <c r="H106" s="38">
        <v>40</v>
      </c>
      <c r="I106" s="38">
        <v>80</v>
      </c>
      <c r="J106" s="38">
        <v>60</v>
      </c>
      <c r="K106" s="38">
        <v>45</v>
      </c>
      <c r="L106" s="38">
        <v>40</v>
      </c>
      <c r="M106" s="38">
        <v>1</v>
      </c>
      <c r="N106" s="39" t="b">
        <v>0</v>
      </c>
    </row>
    <row r="107" spans="2:14" ht="15.75" hidden="1" customHeight="1" x14ac:dyDescent="0.25">
      <c r="B107" s="36">
        <v>103</v>
      </c>
      <c r="C107" s="37" t="s">
        <v>263</v>
      </c>
      <c r="D107" s="37" t="s">
        <v>146</v>
      </c>
      <c r="E107" s="37" t="s">
        <v>219</v>
      </c>
      <c r="F107" s="38">
        <v>520</v>
      </c>
      <c r="G107" s="38">
        <v>95</v>
      </c>
      <c r="H107" s="38">
        <v>95</v>
      </c>
      <c r="I107" s="38">
        <v>85</v>
      </c>
      <c r="J107" s="38">
        <v>125</v>
      </c>
      <c r="K107" s="38">
        <v>65</v>
      </c>
      <c r="L107" s="38">
        <v>55</v>
      </c>
      <c r="M107" s="38">
        <v>2</v>
      </c>
      <c r="N107" s="39" t="b">
        <v>0</v>
      </c>
    </row>
    <row r="108" spans="2:14" ht="15.75" customHeight="1" x14ac:dyDescent="0.25">
      <c r="B108" s="36">
        <v>104</v>
      </c>
      <c r="C108" s="37" t="s">
        <v>264</v>
      </c>
      <c r="D108" s="37" t="s">
        <v>180</v>
      </c>
      <c r="E108" s="1"/>
      <c r="F108" s="38">
        <v>320</v>
      </c>
      <c r="G108" s="38">
        <v>50</v>
      </c>
      <c r="H108" s="38">
        <v>50</v>
      </c>
      <c r="I108" s="38">
        <v>95</v>
      </c>
      <c r="J108" s="38">
        <v>40</v>
      </c>
      <c r="K108" s="38">
        <v>50</v>
      </c>
      <c r="L108" s="38">
        <v>35</v>
      </c>
      <c r="M108" s="38">
        <v>1</v>
      </c>
      <c r="N108" s="39" t="b">
        <v>0</v>
      </c>
    </row>
    <row r="109" spans="2:14" ht="15.75" hidden="1" customHeight="1" x14ac:dyDescent="0.25">
      <c r="B109" s="36">
        <v>105</v>
      </c>
      <c r="C109" s="37" t="s">
        <v>265</v>
      </c>
      <c r="D109" s="37" t="s">
        <v>180</v>
      </c>
      <c r="E109" s="1"/>
      <c r="F109" s="38">
        <v>425</v>
      </c>
      <c r="G109" s="38">
        <v>60</v>
      </c>
      <c r="H109" s="38">
        <v>80</v>
      </c>
      <c r="I109" s="38">
        <v>110</v>
      </c>
      <c r="J109" s="38">
        <v>50</v>
      </c>
      <c r="K109" s="38">
        <v>80</v>
      </c>
      <c r="L109" s="38">
        <v>45</v>
      </c>
      <c r="M109" s="38">
        <v>2</v>
      </c>
      <c r="N109" s="39" t="b">
        <v>0</v>
      </c>
    </row>
    <row r="110" spans="2:14" ht="15.75" hidden="1" customHeight="1" x14ac:dyDescent="0.25">
      <c r="B110" s="36">
        <v>106</v>
      </c>
      <c r="C110" s="37" t="s">
        <v>266</v>
      </c>
      <c r="D110" s="37" t="s">
        <v>211</v>
      </c>
      <c r="E110" s="1"/>
      <c r="F110" s="38">
        <v>455</v>
      </c>
      <c r="G110" s="38">
        <v>50</v>
      </c>
      <c r="H110" s="38">
        <v>120</v>
      </c>
      <c r="I110" s="38">
        <v>53</v>
      </c>
      <c r="J110" s="38">
        <v>35</v>
      </c>
      <c r="K110" s="38">
        <v>110</v>
      </c>
      <c r="L110" s="38">
        <v>87</v>
      </c>
      <c r="M110" s="38">
        <v>1</v>
      </c>
      <c r="N110" s="39" t="b">
        <v>0</v>
      </c>
    </row>
    <row r="111" spans="2:14" ht="15.75" hidden="1" customHeight="1" x14ac:dyDescent="0.25">
      <c r="B111" s="36">
        <v>107</v>
      </c>
      <c r="C111" s="37" t="s">
        <v>267</v>
      </c>
      <c r="D111" s="37" t="s">
        <v>211</v>
      </c>
      <c r="E111" s="1"/>
      <c r="F111" s="38">
        <v>455</v>
      </c>
      <c r="G111" s="38">
        <v>50</v>
      </c>
      <c r="H111" s="38">
        <v>105</v>
      </c>
      <c r="I111" s="38">
        <v>79</v>
      </c>
      <c r="J111" s="38">
        <v>35</v>
      </c>
      <c r="K111" s="38">
        <v>110</v>
      </c>
      <c r="L111" s="38">
        <v>76</v>
      </c>
      <c r="M111" s="38">
        <v>1</v>
      </c>
      <c r="N111" s="39" t="b">
        <v>0</v>
      </c>
    </row>
    <row r="112" spans="2:14" ht="15.75" hidden="1" customHeight="1" x14ac:dyDescent="0.25">
      <c r="B112" s="36">
        <v>108</v>
      </c>
      <c r="C112" s="37" t="s">
        <v>268</v>
      </c>
      <c r="D112" s="37" t="s">
        <v>167</v>
      </c>
      <c r="E112" s="1"/>
      <c r="F112" s="38">
        <v>385</v>
      </c>
      <c r="G112" s="38">
        <v>90</v>
      </c>
      <c r="H112" s="38">
        <v>55</v>
      </c>
      <c r="I112" s="38">
        <v>75</v>
      </c>
      <c r="J112" s="38">
        <v>60</v>
      </c>
      <c r="K112" s="38">
        <v>75</v>
      </c>
      <c r="L112" s="38">
        <v>30</v>
      </c>
      <c r="M112" s="38">
        <v>1</v>
      </c>
      <c r="N112" s="39" t="b">
        <v>0</v>
      </c>
    </row>
    <row r="113" spans="2:14" ht="15.75" hidden="1" customHeight="1" x14ac:dyDescent="0.25">
      <c r="B113" s="36">
        <v>109</v>
      </c>
      <c r="C113" s="37" t="s">
        <v>269</v>
      </c>
      <c r="D113" s="37" t="s">
        <v>147</v>
      </c>
      <c r="E113" s="1"/>
      <c r="F113" s="38">
        <v>340</v>
      </c>
      <c r="G113" s="38">
        <v>40</v>
      </c>
      <c r="H113" s="38">
        <v>65</v>
      </c>
      <c r="I113" s="38">
        <v>95</v>
      </c>
      <c r="J113" s="38">
        <v>60</v>
      </c>
      <c r="K113" s="38">
        <v>45</v>
      </c>
      <c r="L113" s="38">
        <v>35</v>
      </c>
      <c r="M113" s="38">
        <v>1</v>
      </c>
      <c r="N113" s="39" t="b">
        <v>0</v>
      </c>
    </row>
    <row r="114" spans="2:14" ht="15.75" hidden="1" customHeight="1" x14ac:dyDescent="0.25">
      <c r="B114" s="36">
        <v>110</v>
      </c>
      <c r="C114" s="37" t="s">
        <v>270</v>
      </c>
      <c r="D114" s="37" t="s">
        <v>147</v>
      </c>
      <c r="E114" s="1"/>
      <c r="F114" s="38">
        <v>490</v>
      </c>
      <c r="G114" s="38">
        <v>65</v>
      </c>
      <c r="H114" s="38">
        <v>90</v>
      </c>
      <c r="I114" s="38">
        <v>120</v>
      </c>
      <c r="J114" s="38">
        <v>85</v>
      </c>
      <c r="K114" s="38">
        <v>70</v>
      </c>
      <c r="L114" s="38">
        <v>60</v>
      </c>
      <c r="M114" s="38">
        <v>2</v>
      </c>
      <c r="N114" s="39" t="b">
        <v>0</v>
      </c>
    </row>
    <row r="115" spans="2:14" ht="15.75" hidden="1" customHeight="1" x14ac:dyDescent="0.25">
      <c r="B115" s="36">
        <v>111</v>
      </c>
      <c r="C115" s="37" t="s">
        <v>271</v>
      </c>
      <c r="D115" s="37" t="s">
        <v>180</v>
      </c>
      <c r="E115" s="37" t="s">
        <v>231</v>
      </c>
      <c r="F115" s="38">
        <v>345</v>
      </c>
      <c r="G115" s="38">
        <v>80</v>
      </c>
      <c r="H115" s="38">
        <v>85</v>
      </c>
      <c r="I115" s="38">
        <v>95</v>
      </c>
      <c r="J115" s="38">
        <v>30</v>
      </c>
      <c r="K115" s="38">
        <v>30</v>
      </c>
      <c r="L115" s="38">
        <v>25</v>
      </c>
      <c r="M115" s="38">
        <v>1</v>
      </c>
      <c r="N115" s="39" t="b">
        <v>0</v>
      </c>
    </row>
    <row r="116" spans="2:14" ht="15.75" hidden="1" customHeight="1" x14ac:dyDescent="0.25">
      <c r="B116" s="36">
        <v>112</v>
      </c>
      <c r="C116" s="37" t="s">
        <v>272</v>
      </c>
      <c r="D116" s="37" t="s">
        <v>180</v>
      </c>
      <c r="E116" s="37" t="s">
        <v>231</v>
      </c>
      <c r="F116" s="38">
        <v>485</v>
      </c>
      <c r="G116" s="38">
        <v>105</v>
      </c>
      <c r="H116" s="38">
        <v>130</v>
      </c>
      <c r="I116" s="38">
        <v>120</v>
      </c>
      <c r="J116" s="38">
        <v>45</v>
      </c>
      <c r="K116" s="38">
        <v>45</v>
      </c>
      <c r="L116" s="38">
        <v>40</v>
      </c>
      <c r="M116" s="38">
        <v>2</v>
      </c>
      <c r="N116" s="39" t="b">
        <v>0</v>
      </c>
    </row>
    <row r="117" spans="2:14" ht="15.75" customHeight="1" x14ac:dyDescent="0.25">
      <c r="B117" s="36">
        <v>113</v>
      </c>
      <c r="C117" s="37" t="s">
        <v>273</v>
      </c>
      <c r="D117" s="37" t="s">
        <v>167</v>
      </c>
      <c r="E117" s="1"/>
      <c r="F117" s="38">
        <v>450</v>
      </c>
      <c r="G117" s="38">
        <v>250</v>
      </c>
      <c r="H117" s="38">
        <v>5</v>
      </c>
      <c r="I117" s="38">
        <v>5</v>
      </c>
      <c r="J117" s="38">
        <v>35</v>
      </c>
      <c r="K117" s="38">
        <v>105</v>
      </c>
      <c r="L117" s="38">
        <v>50</v>
      </c>
      <c r="M117" s="38">
        <v>1</v>
      </c>
      <c r="N117" s="39" t="b">
        <v>0</v>
      </c>
    </row>
    <row r="118" spans="2:14" ht="15.75" hidden="1" customHeight="1" x14ac:dyDescent="0.25">
      <c r="B118" s="36">
        <v>114</v>
      </c>
      <c r="C118" s="37" t="s">
        <v>274</v>
      </c>
      <c r="D118" s="37" t="s">
        <v>146</v>
      </c>
      <c r="E118" s="1"/>
      <c r="F118" s="38">
        <v>435</v>
      </c>
      <c r="G118" s="38">
        <v>65</v>
      </c>
      <c r="H118" s="38">
        <v>55</v>
      </c>
      <c r="I118" s="38">
        <v>115</v>
      </c>
      <c r="J118" s="38">
        <v>100</v>
      </c>
      <c r="K118" s="38">
        <v>40</v>
      </c>
      <c r="L118" s="38">
        <v>60</v>
      </c>
      <c r="M118" s="38">
        <v>1</v>
      </c>
      <c r="N118" s="39" t="b">
        <v>0</v>
      </c>
    </row>
    <row r="119" spans="2:14" ht="15.75" hidden="1" customHeight="1" x14ac:dyDescent="0.25">
      <c r="B119" s="36">
        <v>115</v>
      </c>
      <c r="C119" s="37" t="s">
        <v>275</v>
      </c>
      <c r="D119" s="37" t="s">
        <v>167</v>
      </c>
      <c r="E119" s="1"/>
      <c r="F119" s="38">
        <v>490</v>
      </c>
      <c r="G119" s="38">
        <v>105</v>
      </c>
      <c r="H119" s="38">
        <v>95</v>
      </c>
      <c r="I119" s="38">
        <v>80</v>
      </c>
      <c r="J119" s="38">
        <v>40</v>
      </c>
      <c r="K119" s="38">
        <v>80</v>
      </c>
      <c r="L119" s="38">
        <v>90</v>
      </c>
      <c r="M119" s="38">
        <v>1</v>
      </c>
      <c r="N119" s="39" t="b">
        <v>0</v>
      </c>
    </row>
    <row r="120" spans="2:14" ht="15.75" hidden="1" customHeight="1" x14ac:dyDescent="0.25">
      <c r="B120" s="36">
        <v>116</v>
      </c>
      <c r="C120" s="37" t="s">
        <v>276</v>
      </c>
      <c r="D120" s="37" t="s">
        <v>156</v>
      </c>
      <c r="E120" s="1"/>
      <c r="F120" s="38">
        <v>295</v>
      </c>
      <c r="G120" s="38">
        <v>30</v>
      </c>
      <c r="H120" s="38">
        <v>40</v>
      </c>
      <c r="I120" s="38">
        <v>70</v>
      </c>
      <c r="J120" s="38">
        <v>70</v>
      </c>
      <c r="K120" s="38">
        <v>25</v>
      </c>
      <c r="L120" s="38">
        <v>60</v>
      </c>
      <c r="M120" s="38">
        <v>1</v>
      </c>
      <c r="N120" s="39" t="b">
        <v>0</v>
      </c>
    </row>
    <row r="121" spans="2:14" ht="15.75" hidden="1" customHeight="1" x14ac:dyDescent="0.25">
      <c r="B121" s="36">
        <v>117</v>
      </c>
      <c r="C121" s="37" t="s">
        <v>277</v>
      </c>
      <c r="D121" s="37" t="s">
        <v>156</v>
      </c>
      <c r="E121" s="1"/>
      <c r="F121" s="38">
        <v>440</v>
      </c>
      <c r="G121" s="38">
        <v>55</v>
      </c>
      <c r="H121" s="38">
        <v>65</v>
      </c>
      <c r="I121" s="38">
        <v>95</v>
      </c>
      <c r="J121" s="38">
        <v>95</v>
      </c>
      <c r="K121" s="38">
        <v>45</v>
      </c>
      <c r="L121" s="38">
        <v>85</v>
      </c>
      <c r="M121" s="38">
        <v>2</v>
      </c>
      <c r="N121" s="39" t="b">
        <v>0</v>
      </c>
    </row>
    <row r="122" spans="2:14" ht="15.75" hidden="1" customHeight="1" x14ac:dyDescent="0.25">
      <c r="B122" s="36">
        <v>118</v>
      </c>
      <c r="C122" s="37" t="s">
        <v>278</v>
      </c>
      <c r="D122" s="37" t="s">
        <v>156</v>
      </c>
      <c r="E122" s="1"/>
      <c r="F122" s="38">
        <v>320</v>
      </c>
      <c r="G122" s="38">
        <v>45</v>
      </c>
      <c r="H122" s="38">
        <v>67</v>
      </c>
      <c r="I122" s="38">
        <v>60</v>
      </c>
      <c r="J122" s="38">
        <v>35</v>
      </c>
      <c r="K122" s="38">
        <v>50</v>
      </c>
      <c r="L122" s="38">
        <v>63</v>
      </c>
      <c r="M122" s="38">
        <v>1</v>
      </c>
      <c r="N122" s="39" t="b">
        <v>0</v>
      </c>
    </row>
    <row r="123" spans="2:14" ht="15.75" hidden="1" customHeight="1" x14ac:dyDescent="0.25">
      <c r="B123" s="36">
        <v>119</v>
      </c>
      <c r="C123" s="37" t="s">
        <v>279</v>
      </c>
      <c r="D123" s="37" t="s">
        <v>156</v>
      </c>
      <c r="E123" s="1"/>
      <c r="F123" s="38">
        <v>450</v>
      </c>
      <c r="G123" s="38">
        <v>80</v>
      </c>
      <c r="H123" s="38">
        <v>92</v>
      </c>
      <c r="I123" s="38">
        <v>65</v>
      </c>
      <c r="J123" s="38">
        <v>65</v>
      </c>
      <c r="K123" s="38">
        <v>80</v>
      </c>
      <c r="L123" s="38">
        <v>68</v>
      </c>
      <c r="M123" s="38">
        <v>2</v>
      </c>
      <c r="N123" s="39" t="b">
        <v>0</v>
      </c>
    </row>
    <row r="124" spans="2:14" ht="15.75" hidden="1" customHeight="1" x14ac:dyDescent="0.25">
      <c r="B124" s="36">
        <v>120</v>
      </c>
      <c r="C124" s="37" t="s">
        <v>280</v>
      </c>
      <c r="D124" s="37" t="s">
        <v>156</v>
      </c>
      <c r="E124" s="1"/>
      <c r="F124" s="38">
        <v>340</v>
      </c>
      <c r="G124" s="38">
        <v>30</v>
      </c>
      <c r="H124" s="38">
        <v>45</v>
      </c>
      <c r="I124" s="38">
        <v>55</v>
      </c>
      <c r="J124" s="38">
        <v>70</v>
      </c>
      <c r="K124" s="38">
        <v>55</v>
      </c>
      <c r="L124" s="38">
        <v>85</v>
      </c>
      <c r="M124" s="38">
        <v>1</v>
      </c>
      <c r="N124" s="39" t="b">
        <v>0</v>
      </c>
    </row>
    <row r="125" spans="2:14" ht="15.75" hidden="1" customHeight="1" x14ac:dyDescent="0.25">
      <c r="B125" s="36">
        <v>121</v>
      </c>
      <c r="C125" s="37" t="s">
        <v>281</v>
      </c>
      <c r="D125" s="37" t="s">
        <v>156</v>
      </c>
      <c r="E125" s="37" t="s">
        <v>219</v>
      </c>
      <c r="F125" s="38">
        <v>520</v>
      </c>
      <c r="G125" s="38">
        <v>60</v>
      </c>
      <c r="H125" s="38">
        <v>75</v>
      </c>
      <c r="I125" s="38">
        <v>85</v>
      </c>
      <c r="J125" s="38">
        <v>100</v>
      </c>
      <c r="K125" s="38">
        <v>85</v>
      </c>
      <c r="L125" s="38">
        <v>115</v>
      </c>
      <c r="M125" s="38">
        <v>2</v>
      </c>
      <c r="N125" s="39" t="b">
        <v>0</v>
      </c>
    </row>
    <row r="126" spans="2:14" ht="15.75" hidden="1" customHeight="1" x14ac:dyDescent="0.25">
      <c r="B126" s="36">
        <v>122</v>
      </c>
      <c r="C126" s="37" t="s">
        <v>282</v>
      </c>
      <c r="D126" s="37" t="s">
        <v>219</v>
      </c>
      <c r="E126" s="37" t="s">
        <v>189</v>
      </c>
      <c r="F126" s="38">
        <v>460</v>
      </c>
      <c r="G126" s="38">
        <v>40</v>
      </c>
      <c r="H126" s="38">
        <v>45</v>
      </c>
      <c r="I126" s="38">
        <v>65</v>
      </c>
      <c r="J126" s="38">
        <v>100</v>
      </c>
      <c r="K126" s="38">
        <v>120</v>
      </c>
      <c r="L126" s="38">
        <v>90</v>
      </c>
      <c r="M126" s="38">
        <v>1</v>
      </c>
      <c r="N126" s="39" t="b">
        <v>0</v>
      </c>
    </row>
    <row r="127" spans="2:14" ht="15.75" hidden="1" customHeight="1" x14ac:dyDescent="0.25">
      <c r="B127" s="36">
        <v>123</v>
      </c>
      <c r="C127" s="37" t="s">
        <v>283</v>
      </c>
      <c r="D127" s="37" t="s">
        <v>160</v>
      </c>
      <c r="E127" s="37" t="s">
        <v>154</v>
      </c>
      <c r="F127" s="38">
        <v>500</v>
      </c>
      <c r="G127" s="38">
        <v>70</v>
      </c>
      <c r="H127" s="38">
        <v>110</v>
      </c>
      <c r="I127" s="38">
        <v>80</v>
      </c>
      <c r="J127" s="38">
        <v>55</v>
      </c>
      <c r="K127" s="38">
        <v>80</v>
      </c>
      <c r="L127" s="38">
        <v>105</v>
      </c>
      <c r="M127" s="38">
        <v>1</v>
      </c>
      <c r="N127" s="39" t="b">
        <v>0</v>
      </c>
    </row>
    <row r="128" spans="2:14" ht="15.75" hidden="1" customHeight="1" x14ac:dyDescent="0.25">
      <c r="B128" s="36">
        <v>124</v>
      </c>
      <c r="C128" s="37" t="s">
        <v>284</v>
      </c>
      <c r="D128" s="37" t="s">
        <v>246</v>
      </c>
      <c r="E128" s="37" t="s">
        <v>219</v>
      </c>
      <c r="F128" s="38">
        <v>455</v>
      </c>
      <c r="G128" s="38">
        <v>65</v>
      </c>
      <c r="H128" s="38">
        <v>50</v>
      </c>
      <c r="I128" s="38">
        <v>35</v>
      </c>
      <c r="J128" s="38">
        <v>115</v>
      </c>
      <c r="K128" s="38">
        <v>95</v>
      </c>
      <c r="L128" s="38">
        <v>95</v>
      </c>
      <c r="M128" s="38">
        <v>1</v>
      </c>
      <c r="N128" s="39" t="b">
        <v>0</v>
      </c>
    </row>
    <row r="129" spans="2:14" ht="15.75" hidden="1" customHeight="1" x14ac:dyDescent="0.25">
      <c r="B129" s="36">
        <v>125</v>
      </c>
      <c r="C129" s="37" t="s">
        <v>285</v>
      </c>
      <c r="D129" s="37" t="s">
        <v>177</v>
      </c>
      <c r="E129" s="1"/>
      <c r="F129" s="38">
        <v>490</v>
      </c>
      <c r="G129" s="38">
        <v>65</v>
      </c>
      <c r="H129" s="38">
        <v>83</v>
      </c>
      <c r="I129" s="38">
        <v>57</v>
      </c>
      <c r="J129" s="38">
        <v>95</v>
      </c>
      <c r="K129" s="38">
        <v>85</v>
      </c>
      <c r="L129" s="38">
        <v>105</v>
      </c>
      <c r="M129" s="38">
        <v>1</v>
      </c>
      <c r="N129" s="39" t="b">
        <v>0</v>
      </c>
    </row>
    <row r="130" spans="2:14" ht="15.75" hidden="1" customHeight="1" x14ac:dyDescent="0.25">
      <c r="B130" s="36">
        <v>126</v>
      </c>
      <c r="C130" s="37" t="s">
        <v>286</v>
      </c>
      <c r="D130" s="37" t="s">
        <v>151</v>
      </c>
      <c r="E130" s="1"/>
      <c r="F130" s="38">
        <v>495</v>
      </c>
      <c r="G130" s="38">
        <v>65</v>
      </c>
      <c r="H130" s="38">
        <v>95</v>
      </c>
      <c r="I130" s="38">
        <v>57</v>
      </c>
      <c r="J130" s="38">
        <v>100</v>
      </c>
      <c r="K130" s="38">
        <v>85</v>
      </c>
      <c r="L130" s="38">
        <v>93</v>
      </c>
      <c r="M130" s="38">
        <v>1</v>
      </c>
      <c r="N130" s="39" t="b">
        <v>0</v>
      </c>
    </row>
    <row r="131" spans="2:14" ht="15.75" hidden="1" customHeight="1" x14ac:dyDescent="0.25">
      <c r="B131" s="36">
        <v>127</v>
      </c>
      <c r="C131" s="37" t="s">
        <v>287</v>
      </c>
      <c r="D131" s="37" t="s">
        <v>160</v>
      </c>
      <c r="E131" s="1"/>
      <c r="F131" s="38">
        <v>500</v>
      </c>
      <c r="G131" s="38">
        <v>65</v>
      </c>
      <c r="H131" s="38">
        <v>125</v>
      </c>
      <c r="I131" s="38">
        <v>100</v>
      </c>
      <c r="J131" s="38">
        <v>55</v>
      </c>
      <c r="K131" s="38">
        <v>70</v>
      </c>
      <c r="L131" s="38">
        <v>85</v>
      </c>
      <c r="M131" s="38">
        <v>1</v>
      </c>
      <c r="N131" s="39" t="b">
        <v>0</v>
      </c>
    </row>
    <row r="132" spans="2:14" ht="15.75" hidden="1" customHeight="1" x14ac:dyDescent="0.25">
      <c r="B132" s="36">
        <v>128</v>
      </c>
      <c r="C132" s="37" t="s">
        <v>288</v>
      </c>
      <c r="D132" s="37" t="s">
        <v>167</v>
      </c>
      <c r="E132" s="1"/>
      <c r="F132" s="38">
        <v>490</v>
      </c>
      <c r="G132" s="38">
        <v>75</v>
      </c>
      <c r="H132" s="38">
        <v>100</v>
      </c>
      <c r="I132" s="38">
        <v>95</v>
      </c>
      <c r="J132" s="38">
        <v>40</v>
      </c>
      <c r="K132" s="38">
        <v>70</v>
      </c>
      <c r="L132" s="38">
        <v>110</v>
      </c>
      <c r="M132" s="38">
        <v>1</v>
      </c>
      <c r="N132" s="39" t="b">
        <v>0</v>
      </c>
    </row>
    <row r="133" spans="2:14" ht="15.75" hidden="1" customHeight="1" x14ac:dyDescent="0.25">
      <c r="B133" s="36">
        <v>129</v>
      </c>
      <c r="C133" s="37" t="s">
        <v>289</v>
      </c>
      <c r="D133" s="37" t="s">
        <v>156</v>
      </c>
      <c r="E133" s="1"/>
      <c r="F133" s="38">
        <v>200</v>
      </c>
      <c r="G133" s="38">
        <v>20</v>
      </c>
      <c r="H133" s="38">
        <v>10</v>
      </c>
      <c r="I133" s="38">
        <v>55</v>
      </c>
      <c r="J133" s="38">
        <v>15</v>
      </c>
      <c r="K133" s="38">
        <v>20</v>
      </c>
      <c r="L133" s="38">
        <v>80</v>
      </c>
      <c r="M133" s="38">
        <v>1</v>
      </c>
      <c r="N133" s="39" t="b">
        <v>0</v>
      </c>
    </row>
    <row r="134" spans="2:14" ht="15.75" hidden="1" customHeight="1" x14ac:dyDescent="0.25">
      <c r="B134" s="36">
        <v>130</v>
      </c>
      <c r="C134" s="37" t="s">
        <v>290</v>
      </c>
      <c r="D134" s="37" t="s">
        <v>156</v>
      </c>
      <c r="E134" s="37" t="s">
        <v>154</v>
      </c>
      <c r="F134" s="38">
        <v>540</v>
      </c>
      <c r="G134" s="38">
        <v>95</v>
      </c>
      <c r="H134" s="38">
        <v>125</v>
      </c>
      <c r="I134" s="38">
        <v>79</v>
      </c>
      <c r="J134" s="38">
        <v>60</v>
      </c>
      <c r="K134" s="38">
        <v>100</v>
      </c>
      <c r="L134" s="38">
        <v>81</v>
      </c>
      <c r="M134" s="38">
        <v>2</v>
      </c>
      <c r="N134" s="39" t="b">
        <v>0</v>
      </c>
    </row>
    <row r="135" spans="2:14" ht="15.75" hidden="1" customHeight="1" x14ac:dyDescent="0.25">
      <c r="B135" s="36">
        <v>131</v>
      </c>
      <c r="C135" s="37" t="s">
        <v>291</v>
      </c>
      <c r="D135" s="37" t="s">
        <v>156</v>
      </c>
      <c r="E135" s="37" t="s">
        <v>246</v>
      </c>
      <c r="F135" s="38">
        <v>535</v>
      </c>
      <c r="G135" s="38">
        <v>130</v>
      </c>
      <c r="H135" s="38">
        <v>85</v>
      </c>
      <c r="I135" s="38">
        <v>80</v>
      </c>
      <c r="J135" s="38">
        <v>85</v>
      </c>
      <c r="K135" s="38">
        <v>95</v>
      </c>
      <c r="L135" s="38">
        <v>60</v>
      </c>
      <c r="M135" s="38">
        <v>1</v>
      </c>
      <c r="N135" s="39" t="b">
        <v>0</v>
      </c>
    </row>
    <row r="136" spans="2:14" ht="15.75" hidden="1" customHeight="1" x14ac:dyDescent="0.25">
      <c r="B136" s="36">
        <v>132</v>
      </c>
      <c r="C136" s="37" t="s">
        <v>292</v>
      </c>
      <c r="D136" s="37" t="s">
        <v>167</v>
      </c>
      <c r="E136" s="1"/>
      <c r="F136" s="38">
        <v>288</v>
      </c>
      <c r="G136" s="38">
        <v>48</v>
      </c>
      <c r="H136" s="38">
        <v>48</v>
      </c>
      <c r="I136" s="38">
        <v>48</v>
      </c>
      <c r="J136" s="38">
        <v>48</v>
      </c>
      <c r="K136" s="38">
        <v>48</v>
      </c>
      <c r="L136" s="38">
        <v>48</v>
      </c>
      <c r="M136" s="38">
        <v>1</v>
      </c>
      <c r="N136" s="39" t="b">
        <v>0</v>
      </c>
    </row>
    <row r="137" spans="2:14" ht="15.75" hidden="1" customHeight="1" x14ac:dyDescent="0.25">
      <c r="B137" s="36">
        <v>133</v>
      </c>
      <c r="C137" s="37" t="s">
        <v>293</v>
      </c>
      <c r="D137" s="37" t="s">
        <v>167</v>
      </c>
      <c r="E137" s="1"/>
      <c r="F137" s="38">
        <v>325</v>
      </c>
      <c r="G137" s="38">
        <v>55</v>
      </c>
      <c r="H137" s="38">
        <v>55</v>
      </c>
      <c r="I137" s="38">
        <v>50</v>
      </c>
      <c r="J137" s="38">
        <v>45</v>
      </c>
      <c r="K137" s="38">
        <v>65</v>
      </c>
      <c r="L137" s="38">
        <v>55</v>
      </c>
      <c r="M137" s="38">
        <v>1</v>
      </c>
      <c r="N137" s="39" t="b">
        <v>0</v>
      </c>
    </row>
    <row r="138" spans="2:14" ht="15.75" hidden="1" customHeight="1" x14ac:dyDescent="0.25">
      <c r="B138" s="36">
        <v>134</v>
      </c>
      <c r="C138" s="37" t="s">
        <v>294</v>
      </c>
      <c r="D138" s="37" t="s">
        <v>156</v>
      </c>
      <c r="E138" s="1"/>
      <c r="F138" s="38">
        <v>525</v>
      </c>
      <c r="G138" s="38">
        <v>130</v>
      </c>
      <c r="H138" s="38">
        <v>65</v>
      </c>
      <c r="I138" s="38">
        <v>60</v>
      </c>
      <c r="J138" s="38">
        <v>110</v>
      </c>
      <c r="K138" s="38">
        <v>95</v>
      </c>
      <c r="L138" s="38">
        <v>65</v>
      </c>
      <c r="M138" s="38">
        <v>2</v>
      </c>
      <c r="N138" s="39" t="b">
        <v>0</v>
      </c>
    </row>
    <row r="139" spans="2:14" ht="15.75" hidden="1" customHeight="1" x14ac:dyDescent="0.25">
      <c r="B139" s="36">
        <v>135</v>
      </c>
      <c r="C139" s="37" t="s">
        <v>295</v>
      </c>
      <c r="D139" s="37" t="s">
        <v>177</v>
      </c>
      <c r="E139" s="1"/>
      <c r="F139" s="38">
        <v>525</v>
      </c>
      <c r="G139" s="38">
        <v>65</v>
      </c>
      <c r="H139" s="38">
        <v>65</v>
      </c>
      <c r="I139" s="38">
        <v>60</v>
      </c>
      <c r="J139" s="38">
        <v>110</v>
      </c>
      <c r="K139" s="38">
        <v>95</v>
      </c>
      <c r="L139" s="38">
        <v>130</v>
      </c>
      <c r="M139" s="38">
        <v>2</v>
      </c>
      <c r="N139" s="39" t="b">
        <v>0</v>
      </c>
    </row>
    <row r="140" spans="2:14" ht="15.75" hidden="1" customHeight="1" x14ac:dyDescent="0.25">
      <c r="B140" s="36">
        <v>136</v>
      </c>
      <c r="C140" s="37" t="s">
        <v>296</v>
      </c>
      <c r="D140" s="37" t="s">
        <v>151</v>
      </c>
      <c r="E140" s="1"/>
      <c r="F140" s="38">
        <v>525</v>
      </c>
      <c r="G140" s="38">
        <v>65</v>
      </c>
      <c r="H140" s="38">
        <v>130</v>
      </c>
      <c r="I140" s="38">
        <v>60</v>
      </c>
      <c r="J140" s="38">
        <v>95</v>
      </c>
      <c r="K140" s="38">
        <v>110</v>
      </c>
      <c r="L140" s="38">
        <v>65</v>
      </c>
      <c r="M140" s="38">
        <v>2</v>
      </c>
      <c r="N140" s="39" t="b">
        <v>0</v>
      </c>
    </row>
    <row r="141" spans="2:14" ht="15.75" hidden="1" customHeight="1" x14ac:dyDescent="0.25">
      <c r="B141" s="36">
        <v>137</v>
      </c>
      <c r="C141" s="37" t="s">
        <v>297</v>
      </c>
      <c r="D141" s="37" t="s">
        <v>167</v>
      </c>
      <c r="E141" s="1"/>
      <c r="F141" s="38">
        <v>395</v>
      </c>
      <c r="G141" s="38">
        <v>65</v>
      </c>
      <c r="H141" s="38">
        <v>60</v>
      </c>
      <c r="I141" s="38">
        <v>70</v>
      </c>
      <c r="J141" s="38">
        <v>85</v>
      </c>
      <c r="K141" s="38">
        <v>75</v>
      </c>
      <c r="L141" s="38">
        <v>40</v>
      </c>
      <c r="M141" s="38">
        <v>1</v>
      </c>
      <c r="N141" s="39" t="b">
        <v>0</v>
      </c>
    </row>
    <row r="142" spans="2:14" ht="15.75" hidden="1" customHeight="1" x14ac:dyDescent="0.25">
      <c r="B142" s="36">
        <v>138</v>
      </c>
      <c r="C142" s="37" t="s">
        <v>298</v>
      </c>
      <c r="D142" s="37" t="s">
        <v>231</v>
      </c>
      <c r="E142" s="37" t="s">
        <v>156</v>
      </c>
      <c r="F142" s="38">
        <v>355</v>
      </c>
      <c r="G142" s="38">
        <v>35</v>
      </c>
      <c r="H142" s="38">
        <v>40</v>
      </c>
      <c r="I142" s="38">
        <v>100</v>
      </c>
      <c r="J142" s="38">
        <v>90</v>
      </c>
      <c r="K142" s="38">
        <v>55</v>
      </c>
      <c r="L142" s="38">
        <v>35</v>
      </c>
      <c r="M142" s="38">
        <v>1</v>
      </c>
      <c r="N142" s="39" t="b">
        <v>0</v>
      </c>
    </row>
    <row r="143" spans="2:14" ht="15.75" hidden="1" customHeight="1" x14ac:dyDescent="0.25">
      <c r="B143" s="36">
        <v>139</v>
      </c>
      <c r="C143" s="37" t="s">
        <v>299</v>
      </c>
      <c r="D143" s="37" t="s">
        <v>231</v>
      </c>
      <c r="E143" s="37" t="s">
        <v>156</v>
      </c>
      <c r="F143" s="38">
        <v>495</v>
      </c>
      <c r="G143" s="38">
        <v>70</v>
      </c>
      <c r="H143" s="38">
        <v>60</v>
      </c>
      <c r="I143" s="38">
        <v>125</v>
      </c>
      <c r="J143" s="38">
        <v>115</v>
      </c>
      <c r="K143" s="38">
        <v>70</v>
      </c>
      <c r="L143" s="38">
        <v>55</v>
      </c>
      <c r="M143" s="38">
        <v>2</v>
      </c>
      <c r="N143" s="39" t="b">
        <v>0</v>
      </c>
    </row>
    <row r="144" spans="2:14" ht="15.75" hidden="1" customHeight="1" x14ac:dyDescent="0.25">
      <c r="B144" s="36">
        <v>140</v>
      </c>
      <c r="C144" s="37" t="s">
        <v>300</v>
      </c>
      <c r="D144" s="37" t="s">
        <v>231</v>
      </c>
      <c r="E144" s="37" t="s">
        <v>156</v>
      </c>
      <c r="F144" s="38">
        <v>355</v>
      </c>
      <c r="G144" s="38">
        <v>30</v>
      </c>
      <c r="H144" s="38">
        <v>80</v>
      </c>
      <c r="I144" s="38">
        <v>90</v>
      </c>
      <c r="J144" s="38">
        <v>55</v>
      </c>
      <c r="K144" s="38">
        <v>45</v>
      </c>
      <c r="L144" s="38">
        <v>55</v>
      </c>
      <c r="M144" s="38">
        <v>1</v>
      </c>
      <c r="N144" s="39" t="b">
        <v>0</v>
      </c>
    </row>
    <row r="145" spans="2:14" ht="15.75" hidden="1" customHeight="1" x14ac:dyDescent="0.25">
      <c r="B145" s="36">
        <v>141</v>
      </c>
      <c r="C145" s="37" t="s">
        <v>301</v>
      </c>
      <c r="D145" s="37" t="s">
        <v>231</v>
      </c>
      <c r="E145" s="37" t="s">
        <v>156</v>
      </c>
      <c r="F145" s="38">
        <v>495</v>
      </c>
      <c r="G145" s="38">
        <v>60</v>
      </c>
      <c r="H145" s="38">
        <v>115</v>
      </c>
      <c r="I145" s="38">
        <v>105</v>
      </c>
      <c r="J145" s="38">
        <v>65</v>
      </c>
      <c r="K145" s="38">
        <v>70</v>
      </c>
      <c r="L145" s="38">
        <v>80</v>
      </c>
      <c r="M145" s="38">
        <v>2</v>
      </c>
      <c r="N145" s="39" t="b">
        <v>0</v>
      </c>
    </row>
    <row r="146" spans="2:14" ht="15.75" hidden="1" customHeight="1" x14ac:dyDescent="0.25">
      <c r="B146" s="36">
        <v>142</v>
      </c>
      <c r="C146" s="37" t="s">
        <v>302</v>
      </c>
      <c r="D146" s="37" t="s">
        <v>231</v>
      </c>
      <c r="E146" s="37" t="s">
        <v>154</v>
      </c>
      <c r="F146" s="38">
        <v>515</v>
      </c>
      <c r="G146" s="38">
        <v>80</v>
      </c>
      <c r="H146" s="38">
        <v>105</v>
      </c>
      <c r="I146" s="38">
        <v>65</v>
      </c>
      <c r="J146" s="38">
        <v>60</v>
      </c>
      <c r="K146" s="38">
        <v>75</v>
      </c>
      <c r="L146" s="38">
        <v>130</v>
      </c>
      <c r="M146" s="38">
        <v>1</v>
      </c>
      <c r="N146" s="39" t="b">
        <v>0</v>
      </c>
    </row>
    <row r="147" spans="2:14" ht="15.75" hidden="1" customHeight="1" x14ac:dyDescent="0.25">
      <c r="B147" s="36">
        <v>143</v>
      </c>
      <c r="C147" s="37" t="s">
        <v>303</v>
      </c>
      <c r="D147" s="37" t="s">
        <v>167</v>
      </c>
      <c r="E147" s="1"/>
      <c r="F147" s="38">
        <v>540</v>
      </c>
      <c r="G147" s="38">
        <v>160</v>
      </c>
      <c r="H147" s="38">
        <v>110</v>
      </c>
      <c r="I147" s="38">
        <v>65</v>
      </c>
      <c r="J147" s="38">
        <v>65</v>
      </c>
      <c r="K147" s="38">
        <v>110</v>
      </c>
      <c r="L147" s="38">
        <v>30</v>
      </c>
      <c r="M147" s="38">
        <v>1</v>
      </c>
      <c r="N147" s="39" t="b">
        <v>0</v>
      </c>
    </row>
    <row r="148" spans="2:14" ht="15.75" hidden="1" customHeight="1" x14ac:dyDescent="0.25">
      <c r="B148" s="36">
        <v>144</v>
      </c>
      <c r="C148" s="37" t="s">
        <v>304</v>
      </c>
      <c r="D148" s="37" t="s">
        <v>246</v>
      </c>
      <c r="E148" s="37" t="s">
        <v>154</v>
      </c>
      <c r="F148" s="38">
        <v>580</v>
      </c>
      <c r="G148" s="38">
        <v>90</v>
      </c>
      <c r="H148" s="38">
        <v>85</v>
      </c>
      <c r="I148" s="38">
        <v>100</v>
      </c>
      <c r="J148" s="38">
        <v>95</v>
      </c>
      <c r="K148" s="38">
        <v>125</v>
      </c>
      <c r="L148" s="38">
        <v>85</v>
      </c>
      <c r="M148" s="38">
        <v>1</v>
      </c>
      <c r="N148" s="39" t="b">
        <v>1</v>
      </c>
    </row>
    <row r="149" spans="2:14" ht="15.75" hidden="1" customHeight="1" x14ac:dyDescent="0.25">
      <c r="B149" s="36">
        <v>145</v>
      </c>
      <c r="C149" s="37" t="s">
        <v>305</v>
      </c>
      <c r="D149" s="37" t="s">
        <v>177</v>
      </c>
      <c r="E149" s="37" t="s">
        <v>154</v>
      </c>
      <c r="F149" s="38">
        <v>580</v>
      </c>
      <c r="G149" s="38">
        <v>90</v>
      </c>
      <c r="H149" s="38">
        <v>90</v>
      </c>
      <c r="I149" s="38">
        <v>85</v>
      </c>
      <c r="J149" s="38">
        <v>125</v>
      </c>
      <c r="K149" s="38">
        <v>90</v>
      </c>
      <c r="L149" s="38">
        <v>100</v>
      </c>
      <c r="M149" s="38">
        <v>1</v>
      </c>
      <c r="N149" s="39" t="b">
        <v>1</v>
      </c>
    </row>
    <row r="150" spans="2:14" ht="15.75" hidden="1" customHeight="1" x14ac:dyDescent="0.25">
      <c r="B150" s="36">
        <v>146</v>
      </c>
      <c r="C150" s="37" t="s">
        <v>306</v>
      </c>
      <c r="D150" s="37" t="s">
        <v>151</v>
      </c>
      <c r="E150" s="37" t="s">
        <v>154</v>
      </c>
      <c r="F150" s="38">
        <v>580</v>
      </c>
      <c r="G150" s="38">
        <v>90</v>
      </c>
      <c r="H150" s="38">
        <v>100</v>
      </c>
      <c r="I150" s="38">
        <v>90</v>
      </c>
      <c r="J150" s="38">
        <v>125</v>
      </c>
      <c r="K150" s="38">
        <v>85</v>
      </c>
      <c r="L150" s="38">
        <v>90</v>
      </c>
      <c r="M150" s="38">
        <v>1</v>
      </c>
      <c r="N150" s="39" t="b">
        <v>1</v>
      </c>
    </row>
    <row r="151" spans="2:14" ht="15.75" hidden="1" customHeight="1" x14ac:dyDescent="0.25">
      <c r="B151" s="36">
        <v>147</v>
      </c>
      <c r="C151" s="37" t="s">
        <v>307</v>
      </c>
      <c r="D151" s="37" t="s">
        <v>308</v>
      </c>
      <c r="E151" s="1"/>
      <c r="F151" s="38">
        <v>300</v>
      </c>
      <c r="G151" s="38">
        <v>41</v>
      </c>
      <c r="H151" s="38">
        <v>64</v>
      </c>
      <c r="I151" s="38">
        <v>45</v>
      </c>
      <c r="J151" s="38">
        <v>50</v>
      </c>
      <c r="K151" s="38">
        <v>50</v>
      </c>
      <c r="L151" s="38">
        <v>50</v>
      </c>
      <c r="M151" s="38">
        <v>1</v>
      </c>
      <c r="N151" s="39" t="b">
        <v>0</v>
      </c>
    </row>
    <row r="152" spans="2:14" ht="15.75" hidden="1" customHeight="1" x14ac:dyDescent="0.25">
      <c r="B152" s="36">
        <v>148</v>
      </c>
      <c r="C152" s="37" t="s">
        <v>309</v>
      </c>
      <c r="D152" s="37" t="s">
        <v>308</v>
      </c>
      <c r="E152" s="1"/>
      <c r="F152" s="38">
        <v>420</v>
      </c>
      <c r="G152" s="38">
        <v>61</v>
      </c>
      <c r="H152" s="38">
        <v>84</v>
      </c>
      <c r="I152" s="38">
        <v>65</v>
      </c>
      <c r="J152" s="38">
        <v>70</v>
      </c>
      <c r="K152" s="38">
        <v>70</v>
      </c>
      <c r="L152" s="38">
        <v>70</v>
      </c>
      <c r="M152" s="38">
        <v>2</v>
      </c>
      <c r="N152" s="39" t="b">
        <v>0</v>
      </c>
    </row>
    <row r="153" spans="2:14" ht="15.75" hidden="1" customHeight="1" x14ac:dyDescent="0.25">
      <c r="B153" s="36">
        <v>149</v>
      </c>
      <c r="C153" s="37" t="s">
        <v>310</v>
      </c>
      <c r="D153" s="37" t="s">
        <v>308</v>
      </c>
      <c r="E153" s="37" t="s">
        <v>154</v>
      </c>
      <c r="F153" s="38">
        <v>600</v>
      </c>
      <c r="G153" s="38">
        <v>91</v>
      </c>
      <c r="H153" s="38">
        <v>134</v>
      </c>
      <c r="I153" s="38">
        <v>95</v>
      </c>
      <c r="J153" s="38">
        <v>100</v>
      </c>
      <c r="K153" s="38">
        <v>100</v>
      </c>
      <c r="L153" s="38">
        <v>80</v>
      </c>
      <c r="M153" s="38">
        <v>3</v>
      </c>
      <c r="N153" s="39" t="b">
        <v>0</v>
      </c>
    </row>
    <row r="154" spans="2:14" ht="15.75" hidden="1" customHeight="1" x14ac:dyDescent="0.25">
      <c r="B154" s="36">
        <v>150</v>
      </c>
      <c r="C154" s="37" t="s">
        <v>311</v>
      </c>
      <c r="D154" s="37" t="s">
        <v>219</v>
      </c>
      <c r="E154" s="1"/>
      <c r="F154" s="38">
        <v>680</v>
      </c>
      <c r="G154" s="38">
        <v>106</v>
      </c>
      <c r="H154" s="38">
        <v>110</v>
      </c>
      <c r="I154" s="38">
        <v>90</v>
      </c>
      <c r="J154" s="38">
        <v>154</v>
      </c>
      <c r="K154" s="38">
        <v>90</v>
      </c>
      <c r="L154" s="38">
        <v>130</v>
      </c>
      <c r="M154" s="38">
        <v>1</v>
      </c>
      <c r="N154" s="39" t="b">
        <v>1</v>
      </c>
    </row>
    <row r="155" spans="2:14" ht="15.75" hidden="1" customHeight="1" x14ac:dyDescent="0.25">
      <c r="B155" s="36">
        <v>151</v>
      </c>
      <c r="C155" s="37" t="s">
        <v>312</v>
      </c>
      <c r="D155" s="37" t="s">
        <v>219</v>
      </c>
      <c r="E155" s="1"/>
      <c r="F155" s="38">
        <v>600</v>
      </c>
      <c r="G155" s="38">
        <v>100</v>
      </c>
      <c r="H155" s="38">
        <v>100</v>
      </c>
      <c r="I155" s="38">
        <v>100</v>
      </c>
      <c r="J155" s="38">
        <v>100</v>
      </c>
      <c r="K155" s="38">
        <v>100</v>
      </c>
      <c r="L155" s="38">
        <v>100</v>
      </c>
      <c r="M155" s="38">
        <v>1</v>
      </c>
      <c r="N155" s="39" t="b">
        <v>0</v>
      </c>
    </row>
    <row r="156" spans="2:14" ht="15.75" customHeight="1" x14ac:dyDescent="0.25"/>
    <row r="157" spans="2:14" ht="15.75" customHeight="1" x14ac:dyDescent="0.25"/>
    <row r="158" spans="2:14" ht="15.75" customHeight="1" x14ac:dyDescent="0.25"/>
    <row r="159" spans="2:14" ht="15.75" customHeight="1" x14ac:dyDescent="0.25"/>
    <row r="160" spans="2:14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B4:N155" xr:uid="{00000000-0001-0000-0600-000000000000}">
    <filterColumn colId="1">
      <customFilters>
        <customFilter val="C*"/>
      </customFilters>
    </filterColumn>
    <filterColumn colId="10">
      <customFilters>
        <customFilter operator="lessThan" val="80"/>
      </customFilters>
    </filterColumn>
  </autoFilter>
  <mergeCells count="1">
    <mergeCell ref="C2:K2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B1:K1000"/>
  <sheetViews>
    <sheetView topLeftCell="A183" workbookViewId="0">
      <selection activeCell="F13" sqref="F13"/>
    </sheetView>
  </sheetViews>
  <sheetFormatPr defaultColWidth="12.6640625" defaultRowHeight="15" customHeight="1" x14ac:dyDescent="0.25"/>
  <cols>
    <col min="2" max="2" width="13" customWidth="1"/>
    <col min="3" max="3" width="15.44140625" customWidth="1"/>
    <col min="4" max="4" width="13.109375" customWidth="1"/>
    <col min="5" max="5" width="19.44140625" customWidth="1"/>
    <col min="6" max="6" width="22.21875" customWidth="1"/>
  </cols>
  <sheetData>
    <row r="1" spans="2:11" ht="15.75" customHeight="1" x14ac:dyDescent="0.25">
      <c r="H1" s="83" t="s">
        <v>315</v>
      </c>
      <c r="I1" s="58"/>
      <c r="J1" s="58"/>
      <c r="K1" s="58"/>
    </row>
    <row r="2" spans="2:11" ht="15.75" customHeight="1" x14ac:dyDescent="0.25">
      <c r="H2" s="65"/>
      <c r="I2" s="66"/>
      <c r="J2" s="66"/>
      <c r="K2" s="66"/>
    </row>
    <row r="3" spans="2:11" ht="15.75" customHeight="1" x14ac:dyDescent="0.25">
      <c r="H3" s="65"/>
      <c r="I3" s="66"/>
      <c r="J3" s="66"/>
      <c r="K3" s="66"/>
    </row>
    <row r="4" spans="2:11" ht="15.75" customHeight="1" x14ac:dyDescent="0.3">
      <c r="B4" s="42" t="s">
        <v>316</v>
      </c>
      <c r="C4" s="42" t="s">
        <v>317</v>
      </c>
      <c r="D4" s="42" t="s">
        <v>318</v>
      </c>
      <c r="E4" s="42" t="s">
        <v>319</v>
      </c>
      <c r="F4" s="42" t="s">
        <v>320</v>
      </c>
    </row>
    <row r="5" spans="2:11" ht="15.75" hidden="1" customHeight="1" x14ac:dyDescent="0.3">
      <c r="B5" s="43">
        <v>1</v>
      </c>
      <c r="C5" s="42" t="s">
        <v>47</v>
      </c>
      <c r="D5" s="43">
        <v>19</v>
      </c>
      <c r="E5" s="43">
        <v>15</v>
      </c>
      <c r="F5" s="43">
        <v>39</v>
      </c>
    </row>
    <row r="6" spans="2:11" ht="15.75" hidden="1" customHeight="1" x14ac:dyDescent="0.3">
      <c r="B6" s="43">
        <v>2</v>
      </c>
      <c r="C6" s="42" t="s">
        <v>47</v>
      </c>
      <c r="D6" s="43">
        <v>21</v>
      </c>
      <c r="E6" s="43">
        <v>15</v>
      </c>
      <c r="F6" s="43">
        <v>81</v>
      </c>
    </row>
    <row r="7" spans="2:11" ht="15.75" hidden="1" customHeight="1" x14ac:dyDescent="0.3">
      <c r="B7" s="43">
        <v>3</v>
      </c>
      <c r="C7" s="42" t="s">
        <v>41</v>
      </c>
      <c r="D7" s="43">
        <v>20</v>
      </c>
      <c r="E7" s="43">
        <v>16</v>
      </c>
      <c r="F7" s="43">
        <v>6</v>
      </c>
    </row>
    <row r="8" spans="2:11" ht="15.75" hidden="1" customHeight="1" x14ac:dyDescent="0.3">
      <c r="B8" s="43">
        <v>4</v>
      </c>
      <c r="C8" s="42" t="s">
        <v>41</v>
      </c>
      <c r="D8" s="43">
        <v>23</v>
      </c>
      <c r="E8" s="43">
        <v>16</v>
      </c>
      <c r="F8" s="43">
        <v>77</v>
      </c>
    </row>
    <row r="9" spans="2:11" ht="15.75" hidden="1" customHeight="1" x14ac:dyDescent="0.3">
      <c r="B9" s="43">
        <v>5</v>
      </c>
      <c r="C9" s="42" t="s">
        <v>41</v>
      </c>
      <c r="D9" s="43">
        <v>31</v>
      </c>
      <c r="E9" s="43">
        <v>17</v>
      </c>
      <c r="F9" s="43">
        <v>40</v>
      </c>
    </row>
    <row r="10" spans="2:11" ht="15.75" hidden="1" customHeight="1" x14ac:dyDescent="0.3">
      <c r="B10" s="43">
        <v>6</v>
      </c>
      <c r="C10" s="42" t="s">
        <v>41</v>
      </c>
      <c r="D10" s="43">
        <v>22</v>
      </c>
      <c r="E10" s="43">
        <v>17</v>
      </c>
      <c r="F10" s="43">
        <v>76</v>
      </c>
    </row>
    <row r="11" spans="2:11" ht="15.75" hidden="1" customHeight="1" x14ac:dyDescent="0.3">
      <c r="B11" s="43">
        <v>7</v>
      </c>
      <c r="C11" s="42" t="s">
        <v>41</v>
      </c>
      <c r="D11" s="43">
        <v>35</v>
      </c>
      <c r="E11" s="43">
        <v>18</v>
      </c>
      <c r="F11" s="43">
        <v>6</v>
      </c>
    </row>
    <row r="12" spans="2:11" ht="15.75" hidden="1" customHeight="1" x14ac:dyDescent="0.3">
      <c r="B12" s="43">
        <v>8</v>
      </c>
      <c r="C12" s="42" t="s">
        <v>41</v>
      </c>
      <c r="D12" s="43">
        <v>23</v>
      </c>
      <c r="E12" s="43">
        <v>18</v>
      </c>
      <c r="F12" s="43">
        <v>94</v>
      </c>
    </row>
    <row r="13" spans="2:11" ht="15.75" customHeight="1" x14ac:dyDescent="0.3">
      <c r="B13" s="43">
        <v>9</v>
      </c>
      <c r="C13" s="42" t="s">
        <v>47</v>
      </c>
      <c r="D13" s="43">
        <v>64</v>
      </c>
      <c r="E13" s="43">
        <v>19</v>
      </c>
      <c r="F13" s="43">
        <v>3</v>
      </c>
    </row>
    <row r="14" spans="2:11" ht="15.75" hidden="1" customHeight="1" x14ac:dyDescent="0.3">
      <c r="B14" s="43">
        <v>10</v>
      </c>
      <c r="C14" s="42" t="s">
        <v>41</v>
      </c>
      <c r="D14" s="43">
        <v>30</v>
      </c>
      <c r="E14" s="43">
        <v>19</v>
      </c>
      <c r="F14" s="43">
        <v>72</v>
      </c>
    </row>
    <row r="15" spans="2:11" ht="15.75" customHeight="1" x14ac:dyDescent="0.3">
      <c r="B15" s="43">
        <v>11</v>
      </c>
      <c r="C15" s="42" t="s">
        <v>47</v>
      </c>
      <c r="D15" s="43">
        <v>67</v>
      </c>
      <c r="E15" s="43">
        <v>19</v>
      </c>
      <c r="F15" s="43">
        <v>14</v>
      </c>
    </row>
    <row r="16" spans="2:11" ht="15.75" hidden="1" customHeight="1" x14ac:dyDescent="0.3">
      <c r="B16" s="43">
        <v>12</v>
      </c>
      <c r="C16" s="42" t="s">
        <v>41</v>
      </c>
      <c r="D16" s="43">
        <v>35</v>
      </c>
      <c r="E16" s="43">
        <v>19</v>
      </c>
      <c r="F16" s="43">
        <v>99</v>
      </c>
    </row>
    <row r="17" spans="2:6" ht="15.75" hidden="1" customHeight="1" x14ac:dyDescent="0.3">
      <c r="B17" s="43">
        <v>13</v>
      </c>
      <c r="C17" s="42" t="s">
        <v>41</v>
      </c>
      <c r="D17" s="43">
        <v>58</v>
      </c>
      <c r="E17" s="43">
        <v>20</v>
      </c>
      <c r="F17" s="43">
        <v>15</v>
      </c>
    </row>
    <row r="18" spans="2:6" ht="15.75" hidden="1" customHeight="1" x14ac:dyDescent="0.3">
      <c r="B18" s="43">
        <v>14</v>
      </c>
      <c r="C18" s="42" t="s">
        <v>41</v>
      </c>
      <c r="D18" s="43">
        <v>24</v>
      </c>
      <c r="E18" s="43">
        <v>20</v>
      </c>
      <c r="F18" s="43">
        <v>77</v>
      </c>
    </row>
    <row r="19" spans="2:6" ht="15.75" customHeight="1" x14ac:dyDescent="0.3">
      <c r="B19" s="43">
        <v>15</v>
      </c>
      <c r="C19" s="42" t="s">
        <v>47</v>
      </c>
      <c r="D19" s="43">
        <v>37</v>
      </c>
      <c r="E19" s="43">
        <v>20</v>
      </c>
      <c r="F19" s="43">
        <v>13</v>
      </c>
    </row>
    <row r="20" spans="2:6" ht="15.75" hidden="1" customHeight="1" x14ac:dyDescent="0.3">
      <c r="B20" s="43">
        <v>16</v>
      </c>
      <c r="C20" s="42" t="s">
        <v>47</v>
      </c>
      <c r="D20" s="43">
        <v>22</v>
      </c>
      <c r="E20" s="43">
        <v>20</v>
      </c>
      <c r="F20" s="43">
        <v>79</v>
      </c>
    </row>
    <row r="21" spans="2:6" ht="15.75" hidden="1" customHeight="1" x14ac:dyDescent="0.3">
      <c r="B21" s="43">
        <v>17</v>
      </c>
      <c r="C21" s="42" t="s">
        <v>41</v>
      </c>
      <c r="D21" s="43">
        <v>35</v>
      </c>
      <c r="E21" s="43">
        <v>21</v>
      </c>
      <c r="F21" s="43">
        <v>35</v>
      </c>
    </row>
    <row r="22" spans="2:6" ht="15.75" hidden="1" customHeight="1" x14ac:dyDescent="0.3">
      <c r="B22" s="43">
        <v>18</v>
      </c>
      <c r="C22" s="42" t="s">
        <v>47</v>
      </c>
      <c r="D22" s="43">
        <v>20</v>
      </c>
      <c r="E22" s="43">
        <v>21</v>
      </c>
      <c r="F22" s="43">
        <v>66</v>
      </c>
    </row>
    <row r="23" spans="2:6" ht="15.75" customHeight="1" x14ac:dyDescent="0.3">
      <c r="B23" s="43">
        <v>19</v>
      </c>
      <c r="C23" s="42" t="s">
        <v>47</v>
      </c>
      <c r="D23" s="43">
        <v>52</v>
      </c>
      <c r="E23" s="43">
        <v>23</v>
      </c>
      <c r="F23" s="43">
        <v>29</v>
      </c>
    </row>
    <row r="24" spans="2:6" ht="15.75" hidden="1" customHeight="1" x14ac:dyDescent="0.3">
      <c r="B24" s="43">
        <v>20</v>
      </c>
      <c r="C24" s="42" t="s">
        <v>41</v>
      </c>
      <c r="D24" s="43">
        <v>35</v>
      </c>
      <c r="E24" s="43">
        <v>23</v>
      </c>
      <c r="F24" s="43">
        <v>98</v>
      </c>
    </row>
    <row r="25" spans="2:6" ht="15.75" customHeight="1" x14ac:dyDescent="0.3">
      <c r="B25" s="43">
        <v>21</v>
      </c>
      <c r="C25" s="42" t="s">
        <v>47</v>
      </c>
      <c r="D25" s="43">
        <v>35</v>
      </c>
      <c r="E25" s="43">
        <v>24</v>
      </c>
      <c r="F25" s="43">
        <v>35</v>
      </c>
    </row>
    <row r="26" spans="2:6" ht="15.75" customHeight="1" x14ac:dyDescent="0.3">
      <c r="B26" s="43">
        <v>22</v>
      </c>
      <c r="C26" s="42" t="s">
        <v>47</v>
      </c>
      <c r="D26" s="43">
        <v>25</v>
      </c>
      <c r="E26" s="43">
        <v>24</v>
      </c>
      <c r="F26" s="43">
        <v>73</v>
      </c>
    </row>
    <row r="27" spans="2:6" ht="15.75" hidden="1" customHeight="1" x14ac:dyDescent="0.3">
      <c r="B27" s="43">
        <v>23</v>
      </c>
      <c r="C27" s="42" t="s">
        <v>41</v>
      </c>
      <c r="D27" s="43">
        <v>46</v>
      </c>
      <c r="E27" s="43">
        <v>25</v>
      </c>
      <c r="F27" s="43">
        <v>5</v>
      </c>
    </row>
    <row r="28" spans="2:6" ht="15.75" customHeight="1" x14ac:dyDescent="0.3">
      <c r="B28" s="43">
        <v>24</v>
      </c>
      <c r="C28" s="42" t="s">
        <v>47</v>
      </c>
      <c r="D28" s="43">
        <v>31</v>
      </c>
      <c r="E28" s="43">
        <v>25</v>
      </c>
      <c r="F28" s="43">
        <v>73</v>
      </c>
    </row>
    <row r="29" spans="2:6" ht="15.75" hidden="1" customHeight="1" x14ac:dyDescent="0.3">
      <c r="B29" s="43">
        <v>25</v>
      </c>
      <c r="C29" s="42" t="s">
        <v>41</v>
      </c>
      <c r="D29" s="43">
        <v>54</v>
      </c>
      <c r="E29" s="43">
        <v>28</v>
      </c>
      <c r="F29" s="43">
        <v>14</v>
      </c>
    </row>
    <row r="30" spans="2:6" ht="15.75" customHeight="1" x14ac:dyDescent="0.3">
      <c r="B30" s="43">
        <v>26</v>
      </c>
      <c r="C30" s="42" t="s">
        <v>47</v>
      </c>
      <c r="D30" s="43">
        <v>29</v>
      </c>
      <c r="E30" s="43">
        <v>28</v>
      </c>
      <c r="F30" s="43">
        <v>82</v>
      </c>
    </row>
    <row r="31" spans="2:6" ht="15.75" hidden="1" customHeight="1" x14ac:dyDescent="0.3">
      <c r="B31" s="43">
        <v>27</v>
      </c>
      <c r="C31" s="42" t="s">
        <v>41</v>
      </c>
      <c r="D31" s="43">
        <v>45</v>
      </c>
      <c r="E31" s="43">
        <v>28</v>
      </c>
      <c r="F31" s="43">
        <v>32</v>
      </c>
    </row>
    <row r="32" spans="2:6" ht="15.75" customHeight="1" x14ac:dyDescent="0.3">
      <c r="B32" s="43">
        <v>28</v>
      </c>
      <c r="C32" s="42" t="s">
        <v>47</v>
      </c>
      <c r="D32" s="43">
        <v>35</v>
      </c>
      <c r="E32" s="43">
        <v>28</v>
      </c>
      <c r="F32" s="43">
        <v>61</v>
      </c>
    </row>
    <row r="33" spans="2:6" ht="15.75" hidden="1" customHeight="1" x14ac:dyDescent="0.3">
      <c r="B33" s="43">
        <v>29</v>
      </c>
      <c r="C33" s="42" t="s">
        <v>41</v>
      </c>
      <c r="D33" s="43">
        <v>40</v>
      </c>
      <c r="E33" s="43">
        <v>29</v>
      </c>
      <c r="F33" s="43">
        <v>31</v>
      </c>
    </row>
    <row r="34" spans="2:6" ht="15.75" hidden="1" customHeight="1" x14ac:dyDescent="0.3">
      <c r="B34" s="43">
        <v>30</v>
      </c>
      <c r="C34" s="42" t="s">
        <v>41</v>
      </c>
      <c r="D34" s="43">
        <v>23</v>
      </c>
      <c r="E34" s="43">
        <v>29</v>
      </c>
      <c r="F34" s="43">
        <v>87</v>
      </c>
    </row>
    <row r="35" spans="2:6" ht="15.75" customHeight="1" x14ac:dyDescent="0.3">
      <c r="B35" s="43">
        <v>31</v>
      </c>
      <c r="C35" s="42" t="s">
        <v>47</v>
      </c>
      <c r="D35" s="43">
        <v>60</v>
      </c>
      <c r="E35" s="43">
        <v>30</v>
      </c>
      <c r="F35" s="43">
        <v>4</v>
      </c>
    </row>
    <row r="36" spans="2:6" ht="15.75" hidden="1" customHeight="1" x14ac:dyDescent="0.3">
      <c r="B36" s="43">
        <v>32</v>
      </c>
      <c r="C36" s="42" t="s">
        <v>41</v>
      </c>
      <c r="D36" s="43">
        <v>21</v>
      </c>
      <c r="E36" s="43">
        <v>30</v>
      </c>
      <c r="F36" s="43">
        <v>73</v>
      </c>
    </row>
    <row r="37" spans="2:6" ht="15.75" customHeight="1" x14ac:dyDescent="0.3">
      <c r="B37" s="43">
        <v>33</v>
      </c>
      <c r="C37" s="42" t="s">
        <v>47</v>
      </c>
      <c r="D37" s="43">
        <v>53</v>
      </c>
      <c r="E37" s="43">
        <v>33</v>
      </c>
      <c r="F37" s="43">
        <v>4</v>
      </c>
    </row>
    <row r="38" spans="2:6" ht="15.75" hidden="1" customHeight="1" x14ac:dyDescent="0.3">
      <c r="B38" s="43">
        <v>34</v>
      </c>
      <c r="C38" s="42" t="s">
        <v>47</v>
      </c>
      <c r="D38" s="43">
        <v>18</v>
      </c>
      <c r="E38" s="43">
        <v>33</v>
      </c>
      <c r="F38" s="43">
        <v>92</v>
      </c>
    </row>
    <row r="39" spans="2:6" ht="15.75" hidden="1" customHeight="1" x14ac:dyDescent="0.3">
      <c r="B39" s="43">
        <v>35</v>
      </c>
      <c r="C39" s="42" t="s">
        <v>41</v>
      </c>
      <c r="D39" s="43">
        <v>49</v>
      </c>
      <c r="E39" s="43">
        <v>33</v>
      </c>
      <c r="F39" s="43">
        <v>14</v>
      </c>
    </row>
    <row r="40" spans="2:6" ht="15.75" hidden="1" customHeight="1" x14ac:dyDescent="0.3">
      <c r="B40" s="43">
        <v>36</v>
      </c>
      <c r="C40" s="42" t="s">
        <v>41</v>
      </c>
      <c r="D40" s="43">
        <v>21</v>
      </c>
      <c r="E40" s="43">
        <v>33</v>
      </c>
      <c r="F40" s="43">
        <v>81</v>
      </c>
    </row>
    <row r="41" spans="2:6" ht="15.75" hidden="1" customHeight="1" x14ac:dyDescent="0.3">
      <c r="B41" s="43">
        <v>37</v>
      </c>
      <c r="C41" s="42" t="s">
        <v>41</v>
      </c>
      <c r="D41" s="43">
        <v>42</v>
      </c>
      <c r="E41" s="43">
        <v>34</v>
      </c>
      <c r="F41" s="43">
        <v>17</v>
      </c>
    </row>
    <row r="42" spans="2:6" ht="15.75" hidden="1" customHeight="1" x14ac:dyDescent="0.3">
      <c r="B42" s="43">
        <v>38</v>
      </c>
      <c r="C42" s="42" t="s">
        <v>41</v>
      </c>
      <c r="D42" s="43">
        <v>30</v>
      </c>
      <c r="E42" s="43">
        <v>34</v>
      </c>
      <c r="F42" s="43">
        <v>73</v>
      </c>
    </row>
    <row r="43" spans="2:6" ht="15.75" hidden="1" customHeight="1" x14ac:dyDescent="0.3">
      <c r="B43" s="43">
        <v>39</v>
      </c>
      <c r="C43" s="42" t="s">
        <v>41</v>
      </c>
      <c r="D43" s="43">
        <v>36</v>
      </c>
      <c r="E43" s="43">
        <v>37</v>
      </c>
      <c r="F43" s="43">
        <v>26</v>
      </c>
    </row>
    <row r="44" spans="2:6" ht="15.75" hidden="1" customHeight="1" x14ac:dyDescent="0.3">
      <c r="B44" s="43">
        <v>40</v>
      </c>
      <c r="C44" s="42" t="s">
        <v>41</v>
      </c>
      <c r="D44" s="43">
        <v>20</v>
      </c>
      <c r="E44" s="43">
        <v>37</v>
      </c>
      <c r="F44" s="43">
        <v>75</v>
      </c>
    </row>
    <row r="45" spans="2:6" ht="15.75" hidden="1" customHeight="1" x14ac:dyDescent="0.3">
      <c r="B45" s="43">
        <v>41</v>
      </c>
      <c r="C45" s="42" t="s">
        <v>41</v>
      </c>
      <c r="D45" s="43">
        <v>65</v>
      </c>
      <c r="E45" s="43">
        <v>38</v>
      </c>
      <c r="F45" s="43">
        <v>35</v>
      </c>
    </row>
    <row r="46" spans="2:6" ht="15.75" customHeight="1" x14ac:dyDescent="0.3">
      <c r="B46" s="43">
        <v>42</v>
      </c>
      <c r="C46" s="42" t="s">
        <v>47</v>
      </c>
      <c r="D46" s="43">
        <v>24</v>
      </c>
      <c r="E46" s="43">
        <v>38</v>
      </c>
      <c r="F46" s="43">
        <v>92</v>
      </c>
    </row>
    <row r="47" spans="2:6" ht="15.75" customHeight="1" x14ac:dyDescent="0.3">
      <c r="B47" s="43">
        <v>43</v>
      </c>
      <c r="C47" s="42" t="s">
        <v>47</v>
      </c>
      <c r="D47" s="43">
        <v>48</v>
      </c>
      <c r="E47" s="43">
        <v>39</v>
      </c>
      <c r="F47" s="43">
        <v>36</v>
      </c>
    </row>
    <row r="48" spans="2:6" ht="15.75" hidden="1" customHeight="1" x14ac:dyDescent="0.3">
      <c r="B48" s="43">
        <v>44</v>
      </c>
      <c r="C48" s="42" t="s">
        <v>41</v>
      </c>
      <c r="D48" s="43">
        <v>31</v>
      </c>
      <c r="E48" s="43">
        <v>39</v>
      </c>
      <c r="F48" s="43">
        <v>61</v>
      </c>
    </row>
    <row r="49" spans="2:6" ht="15.75" hidden="1" customHeight="1" x14ac:dyDescent="0.3">
      <c r="B49" s="43">
        <v>45</v>
      </c>
      <c r="C49" s="42" t="s">
        <v>41</v>
      </c>
      <c r="D49" s="43">
        <v>49</v>
      </c>
      <c r="E49" s="43">
        <v>39</v>
      </c>
      <c r="F49" s="43">
        <v>28</v>
      </c>
    </row>
    <row r="50" spans="2:6" ht="15.75" hidden="1" customHeight="1" x14ac:dyDescent="0.3">
      <c r="B50" s="43">
        <v>46</v>
      </c>
      <c r="C50" s="42" t="s">
        <v>41</v>
      </c>
      <c r="D50" s="43">
        <v>24</v>
      </c>
      <c r="E50" s="43">
        <v>39</v>
      </c>
      <c r="F50" s="43">
        <v>65</v>
      </c>
    </row>
    <row r="51" spans="2:6" ht="15.75" hidden="1" customHeight="1" x14ac:dyDescent="0.3">
      <c r="B51" s="43">
        <v>47</v>
      </c>
      <c r="C51" s="42" t="s">
        <v>41</v>
      </c>
      <c r="D51" s="43">
        <v>50</v>
      </c>
      <c r="E51" s="43">
        <v>40</v>
      </c>
      <c r="F51" s="43">
        <v>55</v>
      </c>
    </row>
    <row r="52" spans="2:6" ht="15.75" hidden="1" customHeight="1" x14ac:dyDescent="0.3">
      <c r="B52" s="43">
        <v>48</v>
      </c>
      <c r="C52" s="42" t="s">
        <v>41</v>
      </c>
      <c r="D52" s="43">
        <v>27</v>
      </c>
      <c r="E52" s="43">
        <v>40</v>
      </c>
      <c r="F52" s="43">
        <v>47</v>
      </c>
    </row>
    <row r="53" spans="2:6" ht="15.75" hidden="1" customHeight="1" x14ac:dyDescent="0.3">
      <c r="B53" s="43">
        <v>49</v>
      </c>
      <c r="C53" s="42" t="s">
        <v>41</v>
      </c>
      <c r="D53" s="43">
        <v>29</v>
      </c>
      <c r="E53" s="43">
        <v>40</v>
      </c>
      <c r="F53" s="43">
        <v>42</v>
      </c>
    </row>
    <row r="54" spans="2:6" ht="15.75" hidden="1" customHeight="1" x14ac:dyDescent="0.3">
      <c r="B54" s="43">
        <v>50</v>
      </c>
      <c r="C54" s="42" t="s">
        <v>41</v>
      </c>
      <c r="D54" s="43">
        <v>31</v>
      </c>
      <c r="E54" s="43">
        <v>40</v>
      </c>
      <c r="F54" s="43">
        <v>42</v>
      </c>
    </row>
    <row r="55" spans="2:6" ht="15.75" hidden="1" customHeight="1" x14ac:dyDescent="0.3">
      <c r="B55" s="43">
        <v>51</v>
      </c>
      <c r="C55" s="42" t="s">
        <v>41</v>
      </c>
      <c r="D55" s="43">
        <v>49</v>
      </c>
      <c r="E55" s="43">
        <v>42</v>
      </c>
      <c r="F55" s="43">
        <v>52</v>
      </c>
    </row>
    <row r="56" spans="2:6" ht="15.75" customHeight="1" x14ac:dyDescent="0.3">
      <c r="B56" s="43">
        <v>52</v>
      </c>
      <c r="C56" s="42" t="s">
        <v>47</v>
      </c>
      <c r="D56" s="43">
        <v>33</v>
      </c>
      <c r="E56" s="43">
        <v>42</v>
      </c>
      <c r="F56" s="43">
        <v>60</v>
      </c>
    </row>
    <row r="57" spans="2:6" ht="15.75" hidden="1" customHeight="1" x14ac:dyDescent="0.3">
      <c r="B57" s="43">
        <v>53</v>
      </c>
      <c r="C57" s="42" t="s">
        <v>41</v>
      </c>
      <c r="D57" s="43">
        <v>31</v>
      </c>
      <c r="E57" s="43">
        <v>43</v>
      </c>
      <c r="F57" s="43">
        <v>54</v>
      </c>
    </row>
    <row r="58" spans="2:6" ht="15.75" customHeight="1" x14ac:dyDescent="0.3">
      <c r="B58" s="43">
        <v>54</v>
      </c>
      <c r="C58" s="42" t="s">
        <v>47</v>
      </c>
      <c r="D58" s="43">
        <v>59</v>
      </c>
      <c r="E58" s="43">
        <v>43</v>
      </c>
      <c r="F58" s="43">
        <v>60</v>
      </c>
    </row>
    <row r="59" spans="2:6" ht="15.75" hidden="1" customHeight="1" x14ac:dyDescent="0.3">
      <c r="B59" s="43">
        <v>55</v>
      </c>
      <c r="C59" s="42" t="s">
        <v>41</v>
      </c>
      <c r="D59" s="43">
        <v>50</v>
      </c>
      <c r="E59" s="43">
        <v>43</v>
      </c>
      <c r="F59" s="43">
        <v>45</v>
      </c>
    </row>
    <row r="60" spans="2:6" ht="15.75" customHeight="1" x14ac:dyDescent="0.3">
      <c r="B60" s="43">
        <v>56</v>
      </c>
      <c r="C60" s="42" t="s">
        <v>47</v>
      </c>
      <c r="D60" s="43">
        <v>47</v>
      </c>
      <c r="E60" s="43">
        <v>43</v>
      </c>
      <c r="F60" s="43">
        <v>41</v>
      </c>
    </row>
    <row r="61" spans="2:6" ht="15.75" hidden="1" customHeight="1" x14ac:dyDescent="0.3">
      <c r="B61" s="43">
        <v>57</v>
      </c>
      <c r="C61" s="42" t="s">
        <v>41</v>
      </c>
      <c r="D61" s="43">
        <v>51</v>
      </c>
      <c r="E61" s="43">
        <v>44</v>
      </c>
      <c r="F61" s="43">
        <v>50</v>
      </c>
    </row>
    <row r="62" spans="2:6" ht="15.75" customHeight="1" x14ac:dyDescent="0.3">
      <c r="B62" s="43">
        <v>58</v>
      </c>
      <c r="C62" s="42" t="s">
        <v>47</v>
      </c>
      <c r="D62" s="43">
        <v>69</v>
      </c>
      <c r="E62" s="43">
        <v>44</v>
      </c>
      <c r="F62" s="43">
        <v>46</v>
      </c>
    </row>
    <row r="63" spans="2:6" ht="15.75" hidden="1" customHeight="1" x14ac:dyDescent="0.3">
      <c r="B63" s="43">
        <v>59</v>
      </c>
      <c r="C63" s="42" t="s">
        <v>41</v>
      </c>
      <c r="D63" s="43">
        <v>27</v>
      </c>
      <c r="E63" s="43">
        <v>46</v>
      </c>
      <c r="F63" s="43">
        <v>51</v>
      </c>
    </row>
    <row r="64" spans="2:6" ht="15.75" customHeight="1" x14ac:dyDescent="0.3">
      <c r="B64" s="43">
        <v>60</v>
      </c>
      <c r="C64" s="42" t="s">
        <v>47</v>
      </c>
      <c r="D64" s="43">
        <v>53</v>
      </c>
      <c r="E64" s="43">
        <v>46</v>
      </c>
      <c r="F64" s="43">
        <v>46</v>
      </c>
    </row>
    <row r="65" spans="2:6" ht="15.75" customHeight="1" x14ac:dyDescent="0.3">
      <c r="B65" s="43">
        <v>61</v>
      </c>
      <c r="C65" s="42" t="s">
        <v>47</v>
      </c>
      <c r="D65" s="43">
        <v>70</v>
      </c>
      <c r="E65" s="43">
        <v>46</v>
      </c>
      <c r="F65" s="43">
        <v>56</v>
      </c>
    </row>
    <row r="66" spans="2:6" ht="15.75" hidden="1" customHeight="1" x14ac:dyDescent="0.3">
      <c r="B66" s="43">
        <v>62</v>
      </c>
      <c r="C66" s="42" t="s">
        <v>47</v>
      </c>
      <c r="D66" s="43">
        <v>19</v>
      </c>
      <c r="E66" s="43">
        <v>46</v>
      </c>
      <c r="F66" s="43">
        <v>55</v>
      </c>
    </row>
    <row r="67" spans="2:6" ht="15.75" hidden="1" customHeight="1" x14ac:dyDescent="0.3">
      <c r="B67" s="43">
        <v>63</v>
      </c>
      <c r="C67" s="42" t="s">
        <v>41</v>
      </c>
      <c r="D67" s="43">
        <v>67</v>
      </c>
      <c r="E67" s="43">
        <v>47</v>
      </c>
      <c r="F67" s="43">
        <v>52</v>
      </c>
    </row>
    <row r="68" spans="2:6" ht="15.75" hidden="1" customHeight="1" x14ac:dyDescent="0.3">
      <c r="B68" s="43">
        <v>64</v>
      </c>
      <c r="C68" s="42" t="s">
        <v>41</v>
      </c>
      <c r="D68" s="43">
        <v>54</v>
      </c>
      <c r="E68" s="43">
        <v>47</v>
      </c>
      <c r="F68" s="43">
        <v>59</v>
      </c>
    </row>
    <row r="69" spans="2:6" ht="15.75" customHeight="1" x14ac:dyDescent="0.3">
      <c r="B69" s="43">
        <v>65</v>
      </c>
      <c r="C69" s="42" t="s">
        <v>47</v>
      </c>
      <c r="D69" s="43">
        <v>63</v>
      </c>
      <c r="E69" s="43">
        <v>48</v>
      </c>
      <c r="F69" s="43">
        <v>51</v>
      </c>
    </row>
    <row r="70" spans="2:6" ht="15.75" hidden="1" customHeight="1" x14ac:dyDescent="0.3">
      <c r="B70" s="43">
        <v>66</v>
      </c>
      <c r="C70" s="42" t="s">
        <v>47</v>
      </c>
      <c r="D70" s="43">
        <v>18</v>
      </c>
      <c r="E70" s="43">
        <v>48</v>
      </c>
      <c r="F70" s="43">
        <v>59</v>
      </c>
    </row>
    <row r="71" spans="2:6" ht="15.75" hidden="1" customHeight="1" x14ac:dyDescent="0.3">
      <c r="B71" s="43">
        <v>67</v>
      </c>
      <c r="C71" s="42" t="s">
        <v>41</v>
      </c>
      <c r="D71" s="43">
        <v>43</v>
      </c>
      <c r="E71" s="43">
        <v>48</v>
      </c>
      <c r="F71" s="43">
        <v>50</v>
      </c>
    </row>
    <row r="72" spans="2:6" ht="15.75" hidden="1" customHeight="1" x14ac:dyDescent="0.3">
      <c r="B72" s="43">
        <v>68</v>
      </c>
      <c r="C72" s="42" t="s">
        <v>41</v>
      </c>
      <c r="D72" s="43">
        <v>68</v>
      </c>
      <c r="E72" s="43">
        <v>48</v>
      </c>
      <c r="F72" s="43">
        <v>48</v>
      </c>
    </row>
    <row r="73" spans="2:6" ht="15.75" hidden="1" customHeight="1" x14ac:dyDescent="0.3">
      <c r="B73" s="43">
        <v>69</v>
      </c>
      <c r="C73" s="42" t="s">
        <v>47</v>
      </c>
      <c r="D73" s="43">
        <v>19</v>
      </c>
      <c r="E73" s="43">
        <v>48</v>
      </c>
      <c r="F73" s="43">
        <v>59</v>
      </c>
    </row>
    <row r="74" spans="2:6" ht="15.75" hidden="1" customHeight="1" x14ac:dyDescent="0.3">
      <c r="B74" s="43">
        <v>70</v>
      </c>
      <c r="C74" s="42" t="s">
        <v>41</v>
      </c>
      <c r="D74" s="43">
        <v>32</v>
      </c>
      <c r="E74" s="43">
        <v>48</v>
      </c>
      <c r="F74" s="43">
        <v>47</v>
      </c>
    </row>
    <row r="75" spans="2:6" ht="15.75" customHeight="1" x14ac:dyDescent="0.3">
      <c r="B75" s="43">
        <v>71</v>
      </c>
      <c r="C75" s="42" t="s">
        <v>47</v>
      </c>
      <c r="D75" s="43">
        <v>70</v>
      </c>
      <c r="E75" s="43">
        <v>49</v>
      </c>
      <c r="F75" s="43">
        <v>55</v>
      </c>
    </row>
    <row r="76" spans="2:6" ht="15.75" hidden="1" customHeight="1" x14ac:dyDescent="0.3">
      <c r="B76" s="43">
        <v>72</v>
      </c>
      <c r="C76" s="42" t="s">
        <v>41</v>
      </c>
      <c r="D76" s="43">
        <v>47</v>
      </c>
      <c r="E76" s="43">
        <v>49</v>
      </c>
      <c r="F76" s="43">
        <v>42</v>
      </c>
    </row>
    <row r="77" spans="2:6" ht="15.75" hidden="1" customHeight="1" x14ac:dyDescent="0.3">
      <c r="B77" s="43">
        <v>73</v>
      </c>
      <c r="C77" s="42" t="s">
        <v>41</v>
      </c>
      <c r="D77" s="43">
        <v>60</v>
      </c>
      <c r="E77" s="43">
        <v>50</v>
      </c>
      <c r="F77" s="43">
        <v>49</v>
      </c>
    </row>
    <row r="78" spans="2:6" ht="15.75" hidden="1" customHeight="1" x14ac:dyDescent="0.3">
      <c r="B78" s="43">
        <v>74</v>
      </c>
      <c r="C78" s="42" t="s">
        <v>41</v>
      </c>
      <c r="D78" s="43">
        <v>60</v>
      </c>
      <c r="E78" s="43">
        <v>50</v>
      </c>
      <c r="F78" s="43">
        <v>56</v>
      </c>
    </row>
    <row r="79" spans="2:6" ht="15.75" customHeight="1" x14ac:dyDescent="0.3">
      <c r="B79" s="43">
        <v>75</v>
      </c>
      <c r="C79" s="42" t="s">
        <v>47</v>
      </c>
      <c r="D79" s="43">
        <v>59</v>
      </c>
      <c r="E79" s="43">
        <v>54</v>
      </c>
      <c r="F79" s="43">
        <v>47</v>
      </c>
    </row>
    <row r="80" spans="2:6" ht="15.75" customHeight="1" x14ac:dyDescent="0.3">
      <c r="B80" s="43">
        <v>76</v>
      </c>
      <c r="C80" s="42" t="s">
        <v>47</v>
      </c>
      <c r="D80" s="43">
        <v>26</v>
      </c>
      <c r="E80" s="43">
        <v>54</v>
      </c>
      <c r="F80" s="43">
        <v>54</v>
      </c>
    </row>
    <row r="81" spans="2:6" ht="15.75" hidden="1" customHeight="1" x14ac:dyDescent="0.3">
      <c r="B81" s="43">
        <v>77</v>
      </c>
      <c r="C81" s="42" t="s">
        <v>41</v>
      </c>
      <c r="D81" s="43">
        <v>45</v>
      </c>
      <c r="E81" s="43">
        <v>54</v>
      </c>
      <c r="F81" s="43">
        <v>53</v>
      </c>
    </row>
    <row r="82" spans="2:6" ht="15.75" customHeight="1" x14ac:dyDescent="0.3">
      <c r="B82" s="43">
        <v>78</v>
      </c>
      <c r="C82" s="42" t="s">
        <v>47</v>
      </c>
      <c r="D82" s="43">
        <v>40</v>
      </c>
      <c r="E82" s="43">
        <v>54</v>
      </c>
      <c r="F82" s="43">
        <v>48</v>
      </c>
    </row>
    <row r="83" spans="2:6" ht="15.75" hidden="1" customHeight="1" x14ac:dyDescent="0.3">
      <c r="B83" s="43">
        <v>79</v>
      </c>
      <c r="C83" s="42" t="s">
        <v>41</v>
      </c>
      <c r="D83" s="43">
        <v>23</v>
      </c>
      <c r="E83" s="43">
        <v>54</v>
      </c>
      <c r="F83" s="43">
        <v>52</v>
      </c>
    </row>
    <row r="84" spans="2:6" ht="15.75" hidden="1" customHeight="1" x14ac:dyDescent="0.3">
      <c r="B84" s="43">
        <v>80</v>
      </c>
      <c r="C84" s="42" t="s">
        <v>41</v>
      </c>
      <c r="D84" s="43">
        <v>49</v>
      </c>
      <c r="E84" s="43">
        <v>54</v>
      </c>
      <c r="F84" s="43">
        <v>42</v>
      </c>
    </row>
    <row r="85" spans="2:6" ht="15.75" customHeight="1" x14ac:dyDescent="0.3">
      <c r="B85" s="43">
        <v>81</v>
      </c>
      <c r="C85" s="42" t="s">
        <v>47</v>
      </c>
      <c r="D85" s="43">
        <v>57</v>
      </c>
      <c r="E85" s="43">
        <v>54</v>
      </c>
      <c r="F85" s="43">
        <v>51</v>
      </c>
    </row>
    <row r="86" spans="2:6" ht="15.75" customHeight="1" x14ac:dyDescent="0.3">
      <c r="B86" s="43">
        <v>82</v>
      </c>
      <c r="C86" s="42" t="s">
        <v>47</v>
      </c>
      <c r="D86" s="43">
        <v>38</v>
      </c>
      <c r="E86" s="43">
        <v>54</v>
      </c>
      <c r="F86" s="43">
        <v>55</v>
      </c>
    </row>
    <row r="87" spans="2:6" ht="15.75" customHeight="1" x14ac:dyDescent="0.3">
      <c r="B87" s="43">
        <v>83</v>
      </c>
      <c r="C87" s="42" t="s">
        <v>47</v>
      </c>
      <c r="D87" s="43">
        <v>67</v>
      </c>
      <c r="E87" s="43">
        <v>54</v>
      </c>
      <c r="F87" s="43">
        <v>41</v>
      </c>
    </row>
    <row r="88" spans="2:6" ht="15.75" hidden="1" customHeight="1" x14ac:dyDescent="0.3">
      <c r="B88" s="43">
        <v>84</v>
      </c>
      <c r="C88" s="42" t="s">
        <v>41</v>
      </c>
      <c r="D88" s="43">
        <v>46</v>
      </c>
      <c r="E88" s="43">
        <v>54</v>
      </c>
      <c r="F88" s="43">
        <v>44</v>
      </c>
    </row>
    <row r="89" spans="2:6" ht="15.75" hidden="1" customHeight="1" x14ac:dyDescent="0.3">
      <c r="B89" s="43">
        <v>85</v>
      </c>
      <c r="C89" s="42" t="s">
        <v>41</v>
      </c>
      <c r="D89" s="43">
        <v>21</v>
      </c>
      <c r="E89" s="43">
        <v>54</v>
      </c>
      <c r="F89" s="43">
        <v>57</v>
      </c>
    </row>
    <row r="90" spans="2:6" ht="15.75" customHeight="1" x14ac:dyDescent="0.3">
      <c r="B90" s="43">
        <v>86</v>
      </c>
      <c r="C90" s="42" t="s">
        <v>47</v>
      </c>
      <c r="D90" s="43">
        <v>48</v>
      </c>
      <c r="E90" s="43">
        <v>54</v>
      </c>
      <c r="F90" s="43">
        <v>46</v>
      </c>
    </row>
    <row r="91" spans="2:6" ht="15.75" hidden="1" customHeight="1" x14ac:dyDescent="0.3">
      <c r="B91" s="43">
        <v>87</v>
      </c>
      <c r="C91" s="42" t="s">
        <v>41</v>
      </c>
      <c r="D91" s="43">
        <v>55</v>
      </c>
      <c r="E91" s="43">
        <v>57</v>
      </c>
      <c r="F91" s="43">
        <v>58</v>
      </c>
    </row>
    <row r="92" spans="2:6" ht="15.75" hidden="1" customHeight="1" x14ac:dyDescent="0.3">
      <c r="B92" s="43">
        <v>88</v>
      </c>
      <c r="C92" s="42" t="s">
        <v>41</v>
      </c>
      <c r="D92" s="43">
        <v>22</v>
      </c>
      <c r="E92" s="43">
        <v>57</v>
      </c>
      <c r="F92" s="43">
        <v>55</v>
      </c>
    </row>
    <row r="93" spans="2:6" ht="15.75" hidden="1" customHeight="1" x14ac:dyDescent="0.3">
      <c r="B93" s="43">
        <v>89</v>
      </c>
      <c r="C93" s="42" t="s">
        <v>41</v>
      </c>
      <c r="D93" s="43">
        <v>34</v>
      </c>
      <c r="E93" s="43">
        <v>58</v>
      </c>
      <c r="F93" s="43">
        <v>60</v>
      </c>
    </row>
    <row r="94" spans="2:6" ht="15.75" hidden="1" customHeight="1" x14ac:dyDescent="0.3">
      <c r="B94" s="43">
        <v>90</v>
      </c>
      <c r="C94" s="42" t="s">
        <v>41</v>
      </c>
      <c r="D94" s="43">
        <v>50</v>
      </c>
      <c r="E94" s="43">
        <v>58</v>
      </c>
      <c r="F94" s="43">
        <v>46</v>
      </c>
    </row>
    <row r="95" spans="2:6" ht="15.75" hidden="1" customHeight="1" x14ac:dyDescent="0.3">
      <c r="B95" s="43">
        <v>91</v>
      </c>
      <c r="C95" s="42" t="s">
        <v>41</v>
      </c>
      <c r="D95" s="43">
        <v>68</v>
      </c>
      <c r="E95" s="43">
        <v>59</v>
      </c>
      <c r="F95" s="43">
        <v>55</v>
      </c>
    </row>
    <row r="96" spans="2:6" ht="15.75" hidden="1" customHeight="1" x14ac:dyDescent="0.3">
      <c r="B96" s="43">
        <v>92</v>
      </c>
      <c r="C96" s="42" t="s">
        <v>47</v>
      </c>
      <c r="D96" s="43">
        <v>18</v>
      </c>
      <c r="E96" s="43">
        <v>59</v>
      </c>
      <c r="F96" s="43">
        <v>41</v>
      </c>
    </row>
    <row r="97" spans="2:6" ht="15.75" customHeight="1" x14ac:dyDescent="0.3">
      <c r="B97" s="43">
        <v>93</v>
      </c>
      <c r="C97" s="42" t="s">
        <v>47</v>
      </c>
      <c r="D97" s="43">
        <v>48</v>
      </c>
      <c r="E97" s="43">
        <v>60</v>
      </c>
      <c r="F97" s="43">
        <v>49</v>
      </c>
    </row>
    <row r="98" spans="2:6" ht="15.75" hidden="1" customHeight="1" x14ac:dyDescent="0.3">
      <c r="B98" s="43">
        <v>94</v>
      </c>
      <c r="C98" s="42" t="s">
        <v>41</v>
      </c>
      <c r="D98" s="43">
        <v>40</v>
      </c>
      <c r="E98" s="43">
        <v>60</v>
      </c>
      <c r="F98" s="43">
        <v>40</v>
      </c>
    </row>
    <row r="99" spans="2:6" ht="15.75" hidden="1" customHeight="1" x14ac:dyDescent="0.3">
      <c r="B99" s="43">
        <v>95</v>
      </c>
      <c r="C99" s="42" t="s">
        <v>41</v>
      </c>
      <c r="D99" s="43">
        <v>32</v>
      </c>
      <c r="E99" s="43">
        <v>60</v>
      </c>
      <c r="F99" s="43">
        <v>42</v>
      </c>
    </row>
    <row r="100" spans="2:6" ht="15.75" customHeight="1" x14ac:dyDescent="0.3">
      <c r="B100" s="43">
        <v>96</v>
      </c>
      <c r="C100" s="42" t="s">
        <v>47</v>
      </c>
      <c r="D100" s="43">
        <v>24</v>
      </c>
      <c r="E100" s="43">
        <v>60</v>
      </c>
      <c r="F100" s="43">
        <v>52</v>
      </c>
    </row>
    <row r="101" spans="2:6" ht="15.75" hidden="1" customHeight="1" x14ac:dyDescent="0.3">
      <c r="B101" s="43">
        <v>97</v>
      </c>
      <c r="C101" s="42" t="s">
        <v>41</v>
      </c>
      <c r="D101" s="43">
        <v>47</v>
      </c>
      <c r="E101" s="43">
        <v>60</v>
      </c>
      <c r="F101" s="43">
        <v>47</v>
      </c>
    </row>
    <row r="102" spans="2:6" ht="15.75" hidden="1" customHeight="1" x14ac:dyDescent="0.3">
      <c r="B102" s="43">
        <v>98</v>
      </c>
      <c r="C102" s="42" t="s">
        <v>41</v>
      </c>
      <c r="D102" s="43">
        <v>27</v>
      </c>
      <c r="E102" s="43">
        <v>60</v>
      </c>
      <c r="F102" s="43">
        <v>50</v>
      </c>
    </row>
    <row r="103" spans="2:6" ht="15.75" customHeight="1" x14ac:dyDescent="0.3">
      <c r="B103" s="43">
        <v>99</v>
      </c>
      <c r="C103" s="42" t="s">
        <v>47</v>
      </c>
      <c r="D103" s="43">
        <v>48</v>
      </c>
      <c r="E103" s="43">
        <v>61</v>
      </c>
      <c r="F103" s="43">
        <v>42</v>
      </c>
    </row>
    <row r="104" spans="2:6" ht="15.75" hidden="1" customHeight="1" x14ac:dyDescent="0.3">
      <c r="B104" s="43">
        <v>100</v>
      </c>
      <c r="C104" s="42" t="s">
        <v>47</v>
      </c>
      <c r="D104" s="43">
        <v>20</v>
      </c>
      <c r="E104" s="43">
        <v>61</v>
      </c>
      <c r="F104" s="43">
        <v>49</v>
      </c>
    </row>
    <row r="105" spans="2:6" ht="15.75" hidden="1" customHeight="1" x14ac:dyDescent="0.3">
      <c r="B105" s="43">
        <v>101</v>
      </c>
      <c r="C105" s="42" t="s">
        <v>41</v>
      </c>
      <c r="D105" s="43">
        <v>23</v>
      </c>
      <c r="E105" s="43">
        <v>62</v>
      </c>
      <c r="F105" s="43">
        <v>41</v>
      </c>
    </row>
    <row r="106" spans="2:6" ht="15.75" hidden="1" customHeight="1" x14ac:dyDescent="0.3">
      <c r="B106" s="43">
        <v>102</v>
      </c>
      <c r="C106" s="42" t="s">
        <v>41</v>
      </c>
      <c r="D106" s="43">
        <v>49</v>
      </c>
      <c r="E106" s="43">
        <v>62</v>
      </c>
      <c r="F106" s="43">
        <v>48</v>
      </c>
    </row>
    <row r="107" spans="2:6" ht="15.75" customHeight="1" x14ac:dyDescent="0.3">
      <c r="B107" s="43">
        <v>103</v>
      </c>
      <c r="C107" s="42" t="s">
        <v>47</v>
      </c>
      <c r="D107" s="43">
        <v>67</v>
      </c>
      <c r="E107" s="43">
        <v>62</v>
      </c>
      <c r="F107" s="43">
        <v>59</v>
      </c>
    </row>
    <row r="108" spans="2:6" ht="15.75" customHeight="1" x14ac:dyDescent="0.3">
      <c r="B108" s="43">
        <v>104</v>
      </c>
      <c r="C108" s="42" t="s">
        <v>47</v>
      </c>
      <c r="D108" s="43">
        <v>26</v>
      </c>
      <c r="E108" s="43">
        <v>62</v>
      </c>
      <c r="F108" s="43">
        <v>55</v>
      </c>
    </row>
    <row r="109" spans="2:6" ht="15.75" customHeight="1" x14ac:dyDescent="0.3">
      <c r="B109" s="43">
        <v>105</v>
      </c>
      <c r="C109" s="42" t="s">
        <v>47</v>
      </c>
      <c r="D109" s="43">
        <v>49</v>
      </c>
      <c r="E109" s="43">
        <v>62</v>
      </c>
      <c r="F109" s="43">
        <v>56</v>
      </c>
    </row>
    <row r="110" spans="2:6" ht="15.75" hidden="1" customHeight="1" x14ac:dyDescent="0.3">
      <c r="B110" s="43">
        <v>106</v>
      </c>
      <c r="C110" s="42" t="s">
        <v>41</v>
      </c>
      <c r="D110" s="43">
        <v>21</v>
      </c>
      <c r="E110" s="43">
        <v>62</v>
      </c>
      <c r="F110" s="43">
        <v>42</v>
      </c>
    </row>
    <row r="111" spans="2:6" ht="15.75" hidden="1" customHeight="1" x14ac:dyDescent="0.3">
      <c r="B111" s="43">
        <v>107</v>
      </c>
      <c r="C111" s="42" t="s">
        <v>41</v>
      </c>
      <c r="D111" s="43">
        <v>66</v>
      </c>
      <c r="E111" s="43">
        <v>63</v>
      </c>
      <c r="F111" s="43">
        <v>50</v>
      </c>
    </row>
    <row r="112" spans="2:6" ht="15.75" customHeight="1" x14ac:dyDescent="0.3">
      <c r="B112" s="43">
        <v>108</v>
      </c>
      <c r="C112" s="42" t="s">
        <v>47</v>
      </c>
      <c r="D112" s="43">
        <v>54</v>
      </c>
      <c r="E112" s="43">
        <v>63</v>
      </c>
      <c r="F112" s="43">
        <v>46</v>
      </c>
    </row>
    <row r="113" spans="2:6" ht="15.75" customHeight="1" x14ac:dyDescent="0.3">
      <c r="B113" s="43">
        <v>109</v>
      </c>
      <c r="C113" s="42" t="s">
        <v>47</v>
      </c>
      <c r="D113" s="43">
        <v>68</v>
      </c>
      <c r="E113" s="43">
        <v>63</v>
      </c>
      <c r="F113" s="43">
        <v>43</v>
      </c>
    </row>
    <row r="114" spans="2:6" ht="15.75" customHeight="1" x14ac:dyDescent="0.3">
      <c r="B114" s="43">
        <v>110</v>
      </c>
      <c r="C114" s="42" t="s">
        <v>47</v>
      </c>
      <c r="D114" s="43">
        <v>66</v>
      </c>
      <c r="E114" s="43">
        <v>63</v>
      </c>
      <c r="F114" s="43">
        <v>48</v>
      </c>
    </row>
    <row r="115" spans="2:6" ht="15.75" customHeight="1" x14ac:dyDescent="0.3">
      <c r="B115" s="43">
        <v>111</v>
      </c>
      <c r="C115" s="42" t="s">
        <v>47</v>
      </c>
      <c r="D115" s="43">
        <v>65</v>
      </c>
      <c r="E115" s="43">
        <v>63</v>
      </c>
      <c r="F115" s="43">
        <v>52</v>
      </c>
    </row>
    <row r="116" spans="2:6" ht="15.75" hidden="1" customHeight="1" x14ac:dyDescent="0.3">
      <c r="B116" s="43">
        <v>112</v>
      </c>
      <c r="C116" s="42" t="s">
        <v>41</v>
      </c>
      <c r="D116" s="43">
        <v>19</v>
      </c>
      <c r="E116" s="43">
        <v>63</v>
      </c>
      <c r="F116" s="43">
        <v>54</v>
      </c>
    </row>
    <row r="117" spans="2:6" ht="15.75" hidden="1" customHeight="1" x14ac:dyDescent="0.3">
      <c r="B117" s="43">
        <v>113</v>
      </c>
      <c r="C117" s="42" t="s">
        <v>41</v>
      </c>
      <c r="D117" s="43">
        <v>38</v>
      </c>
      <c r="E117" s="43">
        <v>64</v>
      </c>
      <c r="F117" s="43">
        <v>42</v>
      </c>
    </row>
    <row r="118" spans="2:6" ht="15.75" hidden="1" customHeight="1" x14ac:dyDescent="0.3">
      <c r="B118" s="43">
        <v>114</v>
      </c>
      <c r="C118" s="42" t="s">
        <v>47</v>
      </c>
      <c r="D118" s="43">
        <v>19</v>
      </c>
      <c r="E118" s="43">
        <v>64</v>
      </c>
      <c r="F118" s="43">
        <v>46</v>
      </c>
    </row>
    <row r="119" spans="2:6" ht="15.75" hidden="1" customHeight="1" x14ac:dyDescent="0.3">
      <c r="B119" s="43">
        <v>115</v>
      </c>
      <c r="C119" s="42" t="s">
        <v>41</v>
      </c>
      <c r="D119" s="43">
        <v>18</v>
      </c>
      <c r="E119" s="43">
        <v>65</v>
      </c>
      <c r="F119" s="43">
        <v>48</v>
      </c>
    </row>
    <row r="120" spans="2:6" ht="15.75" hidden="1" customHeight="1" x14ac:dyDescent="0.3">
      <c r="B120" s="43">
        <v>116</v>
      </c>
      <c r="C120" s="42" t="s">
        <v>41</v>
      </c>
      <c r="D120" s="43">
        <v>19</v>
      </c>
      <c r="E120" s="43">
        <v>65</v>
      </c>
      <c r="F120" s="43">
        <v>50</v>
      </c>
    </row>
    <row r="121" spans="2:6" ht="15.75" hidden="1" customHeight="1" x14ac:dyDescent="0.3">
      <c r="B121" s="43">
        <v>117</v>
      </c>
      <c r="C121" s="42" t="s">
        <v>41</v>
      </c>
      <c r="D121" s="43">
        <v>63</v>
      </c>
      <c r="E121" s="43">
        <v>65</v>
      </c>
      <c r="F121" s="43">
        <v>43</v>
      </c>
    </row>
    <row r="122" spans="2:6" ht="15.75" hidden="1" customHeight="1" x14ac:dyDescent="0.3">
      <c r="B122" s="43">
        <v>118</v>
      </c>
      <c r="C122" s="42" t="s">
        <v>41</v>
      </c>
      <c r="D122" s="43">
        <v>49</v>
      </c>
      <c r="E122" s="43">
        <v>65</v>
      </c>
      <c r="F122" s="43">
        <v>59</v>
      </c>
    </row>
    <row r="123" spans="2:6" ht="15.75" hidden="1" customHeight="1" x14ac:dyDescent="0.3">
      <c r="B123" s="43">
        <v>119</v>
      </c>
      <c r="C123" s="42" t="s">
        <v>41</v>
      </c>
      <c r="D123" s="43">
        <v>51</v>
      </c>
      <c r="E123" s="43">
        <v>67</v>
      </c>
      <c r="F123" s="43">
        <v>43</v>
      </c>
    </row>
    <row r="124" spans="2:6" ht="15.75" hidden="1" customHeight="1" x14ac:dyDescent="0.3">
      <c r="B124" s="43">
        <v>120</v>
      </c>
      <c r="C124" s="42" t="s">
        <v>41</v>
      </c>
      <c r="D124" s="43">
        <v>50</v>
      </c>
      <c r="E124" s="43">
        <v>67</v>
      </c>
      <c r="F124" s="43">
        <v>57</v>
      </c>
    </row>
    <row r="125" spans="2:6" ht="15.75" customHeight="1" x14ac:dyDescent="0.3">
      <c r="B125" s="43">
        <v>121</v>
      </c>
      <c r="C125" s="42" t="s">
        <v>47</v>
      </c>
      <c r="D125" s="43">
        <v>27</v>
      </c>
      <c r="E125" s="43">
        <v>67</v>
      </c>
      <c r="F125" s="43">
        <v>56</v>
      </c>
    </row>
    <row r="126" spans="2:6" ht="15.75" hidden="1" customHeight="1" x14ac:dyDescent="0.3">
      <c r="B126" s="43">
        <v>122</v>
      </c>
      <c r="C126" s="42" t="s">
        <v>41</v>
      </c>
      <c r="D126" s="43">
        <v>38</v>
      </c>
      <c r="E126" s="43">
        <v>67</v>
      </c>
      <c r="F126" s="43">
        <v>40</v>
      </c>
    </row>
    <row r="127" spans="2:6" ht="15.75" hidden="1" customHeight="1" x14ac:dyDescent="0.3">
      <c r="B127" s="43">
        <v>123</v>
      </c>
      <c r="C127" s="42" t="s">
        <v>41</v>
      </c>
      <c r="D127" s="43">
        <v>40</v>
      </c>
      <c r="E127" s="43">
        <v>69</v>
      </c>
      <c r="F127" s="43">
        <v>58</v>
      </c>
    </row>
    <row r="128" spans="2:6" ht="15.75" customHeight="1" x14ac:dyDescent="0.3">
      <c r="B128" s="43">
        <v>124</v>
      </c>
      <c r="C128" s="42" t="s">
        <v>47</v>
      </c>
      <c r="D128" s="43">
        <v>39</v>
      </c>
      <c r="E128" s="43">
        <v>69</v>
      </c>
      <c r="F128" s="43">
        <v>91</v>
      </c>
    </row>
    <row r="129" spans="2:6" ht="15.75" hidden="1" customHeight="1" x14ac:dyDescent="0.3">
      <c r="B129" s="43">
        <v>125</v>
      </c>
      <c r="C129" s="42" t="s">
        <v>41</v>
      </c>
      <c r="D129" s="43">
        <v>23</v>
      </c>
      <c r="E129" s="43">
        <v>70</v>
      </c>
      <c r="F129" s="43">
        <v>29</v>
      </c>
    </row>
    <row r="130" spans="2:6" ht="15.75" hidden="1" customHeight="1" x14ac:dyDescent="0.3">
      <c r="B130" s="43">
        <v>126</v>
      </c>
      <c r="C130" s="42" t="s">
        <v>41</v>
      </c>
      <c r="D130" s="43">
        <v>31</v>
      </c>
      <c r="E130" s="43">
        <v>70</v>
      </c>
      <c r="F130" s="43">
        <v>77</v>
      </c>
    </row>
    <row r="131" spans="2:6" ht="15.75" customHeight="1" x14ac:dyDescent="0.3">
      <c r="B131" s="43">
        <v>127</v>
      </c>
      <c r="C131" s="42" t="s">
        <v>47</v>
      </c>
      <c r="D131" s="43">
        <v>43</v>
      </c>
      <c r="E131" s="43">
        <v>71</v>
      </c>
      <c r="F131" s="43">
        <v>35</v>
      </c>
    </row>
    <row r="132" spans="2:6" ht="15.75" customHeight="1" x14ac:dyDescent="0.3">
      <c r="B132" s="43">
        <v>128</v>
      </c>
      <c r="C132" s="42" t="s">
        <v>47</v>
      </c>
      <c r="D132" s="43">
        <v>40</v>
      </c>
      <c r="E132" s="43">
        <v>71</v>
      </c>
      <c r="F132" s="43">
        <v>95</v>
      </c>
    </row>
    <row r="133" spans="2:6" ht="15.75" customHeight="1" x14ac:dyDescent="0.3">
      <c r="B133" s="43">
        <v>129</v>
      </c>
      <c r="C133" s="42" t="s">
        <v>47</v>
      </c>
      <c r="D133" s="43">
        <v>59</v>
      </c>
      <c r="E133" s="43">
        <v>71</v>
      </c>
      <c r="F133" s="43">
        <v>11</v>
      </c>
    </row>
    <row r="134" spans="2:6" ht="15.75" customHeight="1" x14ac:dyDescent="0.3">
      <c r="B134" s="43">
        <v>130</v>
      </c>
      <c r="C134" s="42" t="s">
        <v>47</v>
      </c>
      <c r="D134" s="43">
        <v>38</v>
      </c>
      <c r="E134" s="43">
        <v>71</v>
      </c>
      <c r="F134" s="43">
        <v>75</v>
      </c>
    </row>
    <row r="135" spans="2:6" ht="15.75" customHeight="1" x14ac:dyDescent="0.3">
      <c r="B135" s="43">
        <v>131</v>
      </c>
      <c r="C135" s="42" t="s">
        <v>47</v>
      </c>
      <c r="D135" s="43">
        <v>47</v>
      </c>
      <c r="E135" s="43">
        <v>71</v>
      </c>
      <c r="F135" s="43">
        <v>9</v>
      </c>
    </row>
    <row r="136" spans="2:6" ht="15.75" customHeight="1" x14ac:dyDescent="0.3">
      <c r="B136" s="43">
        <v>132</v>
      </c>
      <c r="C136" s="42" t="s">
        <v>47</v>
      </c>
      <c r="D136" s="43">
        <v>39</v>
      </c>
      <c r="E136" s="43">
        <v>71</v>
      </c>
      <c r="F136" s="43">
        <v>75</v>
      </c>
    </row>
    <row r="137" spans="2:6" ht="15.75" hidden="1" customHeight="1" x14ac:dyDescent="0.3">
      <c r="B137" s="43">
        <v>133</v>
      </c>
      <c r="C137" s="42" t="s">
        <v>41</v>
      </c>
      <c r="D137" s="43">
        <v>25</v>
      </c>
      <c r="E137" s="43">
        <v>72</v>
      </c>
      <c r="F137" s="43">
        <v>34</v>
      </c>
    </row>
    <row r="138" spans="2:6" ht="15.75" hidden="1" customHeight="1" x14ac:dyDescent="0.3">
      <c r="B138" s="43">
        <v>134</v>
      </c>
      <c r="C138" s="42" t="s">
        <v>41</v>
      </c>
      <c r="D138" s="43">
        <v>31</v>
      </c>
      <c r="E138" s="43">
        <v>72</v>
      </c>
      <c r="F138" s="43">
        <v>71</v>
      </c>
    </row>
    <row r="139" spans="2:6" ht="15.75" hidden="1" customHeight="1" x14ac:dyDescent="0.3">
      <c r="B139" s="43">
        <v>135</v>
      </c>
      <c r="C139" s="42" t="s">
        <v>47</v>
      </c>
      <c r="D139" s="43">
        <v>20</v>
      </c>
      <c r="E139" s="43">
        <v>73</v>
      </c>
      <c r="F139" s="43">
        <v>5</v>
      </c>
    </row>
    <row r="140" spans="2:6" ht="15.75" hidden="1" customHeight="1" x14ac:dyDescent="0.3">
      <c r="B140" s="43">
        <v>136</v>
      </c>
      <c r="C140" s="42" t="s">
        <v>41</v>
      </c>
      <c r="D140" s="43">
        <v>29</v>
      </c>
      <c r="E140" s="43">
        <v>73</v>
      </c>
      <c r="F140" s="43">
        <v>88</v>
      </c>
    </row>
    <row r="141" spans="2:6" ht="15.75" hidden="1" customHeight="1" x14ac:dyDescent="0.3">
      <c r="B141" s="43">
        <v>137</v>
      </c>
      <c r="C141" s="42" t="s">
        <v>41</v>
      </c>
      <c r="D141" s="43">
        <v>44</v>
      </c>
      <c r="E141" s="43">
        <v>73</v>
      </c>
      <c r="F141" s="43">
        <v>7</v>
      </c>
    </row>
    <row r="142" spans="2:6" ht="15.75" customHeight="1" x14ac:dyDescent="0.3">
      <c r="B142" s="43">
        <v>138</v>
      </c>
      <c r="C142" s="42" t="s">
        <v>47</v>
      </c>
      <c r="D142" s="43">
        <v>32</v>
      </c>
      <c r="E142" s="43">
        <v>73</v>
      </c>
      <c r="F142" s="43">
        <v>73</v>
      </c>
    </row>
    <row r="143" spans="2:6" ht="15.75" hidden="1" customHeight="1" x14ac:dyDescent="0.3">
      <c r="B143" s="43">
        <v>139</v>
      </c>
      <c r="C143" s="42" t="s">
        <v>47</v>
      </c>
      <c r="D143" s="43">
        <v>19</v>
      </c>
      <c r="E143" s="43">
        <v>74</v>
      </c>
      <c r="F143" s="43">
        <v>10</v>
      </c>
    </row>
    <row r="144" spans="2:6" ht="15.75" hidden="1" customHeight="1" x14ac:dyDescent="0.3">
      <c r="B144" s="43">
        <v>140</v>
      </c>
      <c r="C144" s="42" t="s">
        <v>41</v>
      </c>
      <c r="D144" s="43">
        <v>35</v>
      </c>
      <c r="E144" s="43">
        <v>74</v>
      </c>
      <c r="F144" s="43">
        <v>72</v>
      </c>
    </row>
    <row r="145" spans="2:6" ht="15.75" hidden="1" customHeight="1" x14ac:dyDescent="0.3">
      <c r="B145" s="43">
        <v>141</v>
      </c>
      <c r="C145" s="42" t="s">
        <v>41</v>
      </c>
      <c r="D145" s="43">
        <v>57</v>
      </c>
      <c r="E145" s="43">
        <v>75</v>
      </c>
      <c r="F145" s="43">
        <v>5</v>
      </c>
    </row>
    <row r="146" spans="2:6" ht="15.75" customHeight="1" x14ac:dyDescent="0.3">
      <c r="B146" s="43">
        <v>142</v>
      </c>
      <c r="C146" s="42" t="s">
        <v>47</v>
      </c>
      <c r="D146" s="43">
        <v>32</v>
      </c>
      <c r="E146" s="43">
        <v>75</v>
      </c>
      <c r="F146" s="43">
        <v>93</v>
      </c>
    </row>
    <row r="147" spans="2:6" ht="15.75" hidden="1" customHeight="1" x14ac:dyDescent="0.3">
      <c r="B147" s="43">
        <v>143</v>
      </c>
      <c r="C147" s="42" t="s">
        <v>41</v>
      </c>
      <c r="D147" s="43">
        <v>28</v>
      </c>
      <c r="E147" s="43">
        <v>76</v>
      </c>
      <c r="F147" s="43">
        <v>40</v>
      </c>
    </row>
    <row r="148" spans="2:6" ht="15.75" hidden="1" customHeight="1" x14ac:dyDescent="0.3">
      <c r="B148" s="43">
        <v>144</v>
      </c>
      <c r="C148" s="42" t="s">
        <v>41</v>
      </c>
      <c r="D148" s="43">
        <v>32</v>
      </c>
      <c r="E148" s="43">
        <v>76</v>
      </c>
      <c r="F148" s="43">
        <v>87</v>
      </c>
    </row>
    <row r="149" spans="2:6" ht="15.75" customHeight="1" x14ac:dyDescent="0.3">
      <c r="B149" s="43">
        <v>145</v>
      </c>
      <c r="C149" s="42" t="s">
        <v>47</v>
      </c>
      <c r="D149" s="43">
        <v>25</v>
      </c>
      <c r="E149" s="43">
        <v>77</v>
      </c>
      <c r="F149" s="43">
        <v>12</v>
      </c>
    </row>
    <row r="150" spans="2:6" ht="15.75" customHeight="1" x14ac:dyDescent="0.3">
      <c r="B150" s="43">
        <v>146</v>
      </c>
      <c r="C150" s="42" t="s">
        <v>47</v>
      </c>
      <c r="D150" s="43">
        <v>28</v>
      </c>
      <c r="E150" s="43">
        <v>77</v>
      </c>
      <c r="F150" s="43">
        <v>97</v>
      </c>
    </row>
    <row r="151" spans="2:6" ht="15.75" customHeight="1" x14ac:dyDescent="0.3">
      <c r="B151" s="43">
        <v>147</v>
      </c>
      <c r="C151" s="42" t="s">
        <v>47</v>
      </c>
      <c r="D151" s="43">
        <v>48</v>
      </c>
      <c r="E151" s="43">
        <v>77</v>
      </c>
      <c r="F151" s="43">
        <v>36</v>
      </c>
    </row>
    <row r="152" spans="2:6" ht="15.75" hidden="1" customHeight="1" x14ac:dyDescent="0.3">
      <c r="B152" s="43">
        <v>148</v>
      </c>
      <c r="C152" s="42" t="s">
        <v>41</v>
      </c>
      <c r="D152" s="43">
        <v>32</v>
      </c>
      <c r="E152" s="43">
        <v>77</v>
      </c>
      <c r="F152" s="43">
        <v>74</v>
      </c>
    </row>
    <row r="153" spans="2:6" ht="15.75" hidden="1" customHeight="1" x14ac:dyDescent="0.3">
      <c r="B153" s="43">
        <v>149</v>
      </c>
      <c r="C153" s="42" t="s">
        <v>41</v>
      </c>
      <c r="D153" s="43">
        <v>34</v>
      </c>
      <c r="E153" s="43">
        <v>78</v>
      </c>
      <c r="F153" s="43">
        <v>22</v>
      </c>
    </row>
    <row r="154" spans="2:6" ht="15.75" customHeight="1" x14ac:dyDescent="0.3">
      <c r="B154" s="43">
        <v>150</v>
      </c>
      <c r="C154" s="42" t="s">
        <v>47</v>
      </c>
      <c r="D154" s="43">
        <v>34</v>
      </c>
      <c r="E154" s="43">
        <v>78</v>
      </c>
      <c r="F154" s="43">
        <v>90</v>
      </c>
    </row>
    <row r="155" spans="2:6" ht="15.75" customHeight="1" x14ac:dyDescent="0.3">
      <c r="B155" s="43">
        <v>151</v>
      </c>
      <c r="C155" s="42" t="s">
        <v>47</v>
      </c>
      <c r="D155" s="43">
        <v>43</v>
      </c>
      <c r="E155" s="43">
        <v>78</v>
      </c>
      <c r="F155" s="43">
        <v>17</v>
      </c>
    </row>
    <row r="156" spans="2:6" ht="15.75" customHeight="1" x14ac:dyDescent="0.3">
      <c r="B156" s="43">
        <v>152</v>
      </c>
      <c r="C156" s="42" t="s">
        <v>47</v>
      </c>
      <c r="D156" s="43">
        <v>39</v>
      </c>
      <c r="E156" s="43">
        <v>78</v>
      </c>
      <c r="F156" s="43">
        <v>88</v>
      </c>
    </row>
    <row r="157" spans="2:6" ht="15.75" hidden="1" customHeight="1" x14ac:dyDescent="0.3">
      <c r="B157" s="43">
        <v>153</v>
      </c>
      <c r="C157" s="42" t="s">
        <v>41</v>
      </c>
      <c r="D157" s="43">
        <v>44</v>
      </c>
      <c r="E157" s="43">
        <v>78</v>
      </c>
      <c r="F157" s="43">
        <v>20</v>
      </c>
    </row>
    <row r="158" spans="2:6" ht="15.75" hidden="1" customHeight="1" x14ac:dyDescent="0.3">
      <c r="B158" s="43">
        <v>154</v>
      </c>
      <c r="C158" s="42" t="s">
        <v>41</v>
      </c>
      <c r="D158" s="43">
        <v>38</v>
      </c>
      <c r="E158" s="43">
        <v>78</v>
      </c>
      <c r="F158" s="43">
        <v>76</v>
      </c>
    </row>
    <row r="159" spans="2:6" ht="15.75" hidden="1" customHeight="1" x14ac:dyDescent="0.3">
      <c r="B159" s="43">
        <v>155</v>
      </c>
      <c r="C159" s="42" t="s">
        <v>41</v>
      </c>
      <c r="D159" s="43">
        <v>47</v>
      </c>
      <c r="E159" s="43">
        <v>78</v>
      </c>
      <c r="F159" s="43">
        <v>16</v>
      </c>
    </row>
    <row r="160" spans="2:6" ht="15.75" hidden="1" customHeight="1" x14ac:dyDescent="0.3">
      <c r="B160" s="43">
        <v>156</v>
      </c>
      <c r="C160" s="42" t="s">
        <v>41</v>
      </c>
      <c r="D160" s="43">
        <v>27</v>
      </c>
      <c r="E160" s="43">
        <v>78</v>
      </c>
      <c r="F160" s="43">
        <v>89</v>
      </c>
    </row>
    <row r="161" spans="2:6" ht="15.75" customHeight="1" x14ac:dyDescent="0.3">
      <c r="B161" s="43">
        <v>157</v>
      </c>
      <c r="C161" s="42" t="s">
        <v>47</v>
      </c>
      <c r="D161" s="43">
        <v>37</v>
      </c>
      <c r="E161" s="43">
        <v>78</v>
      </c>
      <c r="F161" s="43">
        <v>1</v>
      </c>
    </row>
    <row r="162" spans="2:6" ht="15.75" hidden="1" customHeight="1" x14ac:dyDescent="0.3">
      <c r="B162" s="43">
        <v>158</v>
      </c>
      <c r="C162" s="42" t="s">
        <v>41</v>
      </c>
      <c r="D162" s="43">
        <v>30</v>
      </c>
      <c r="E162" s="43">
        <v>78</v>
      </c>
      <c r="F162" s="43">
        <v>78</v>
      </c>
    </row>
    <row r="163" spans="2:6" ht="15.75" customHeight="1" x14ac:dyDescent="0.3">
      <c r="B163" s="43">
        <v>159</v>
      </c>
      <c r="C163" s="42" t="s">
        <v>47</v>
      </c>
      <c r="D163" s="43">
        <v>34</v>
      </c>
      <c r="E163" s="43">
        <v>78</v>
      </c>
      <c r="F163" s="43">
        <v>1</v>
      </c>
    </row>
    <row r="164" spans="2:6" ht="15.75" hidden="1" customHeight="1" x14ac:dyDescent="0.3">
      <c r="B164" s="43">
        <v>160</v>
      </c>
      <c r="C164" s="42" t="s">
        <v>41</v>
      </c>
      <c r="D164" s="43">
        <v>30</v>
      </c>
      <c r="E164" s="43">
        <v>78</v>
      </c>
      <c r="F164" s="43">
        <v>73</v>
      </c>
    </row>
    <row r="165" spans="2:6" ht="15.75" hidden="1" customHeight="1" x14ac:dyDescent="0.3">
      <c r="B165" s="43">
        <v>161</v>
      </c>
      <c r="C165" s="42" t="s">
        <v>41</v>
      </c>
      <c r="D165" s="43">
        <v>56</v>
      </c>
      <c r="E165" s="43">
        <v>79</v>
      </c>
      <c r="F165" s="43">
        <v>35</v>
      </c>
    </row>
    <row r="166" spans="2:6" ht="15.75" hidden="1" customHeight="1" x14ac:dyDescent="0.3">
      <c r="B166" s="43">
        <v>162</v>
      </c>
      <c r="C166" s="42" t="s">
        <v>41</v>
      </c>
      <c r="D166" s="43">
        <v>29</v>
      </c>
      <c r="E166" s="43">
        <v>79</v>
      </c>
      <c r="F166" s="43">
        <v>83</v>
      </c>
    </row>
    <row r="167" spans="2:6" ht="15.75" hidden="1" customHeight="1" x14ac:dyDescent="0.3">
      <c r="B167" s="43">
        <v>163</v>
      </c>
      <c r="C167" s="42" t="s">
        <v>47</v>
      </c>
      <c r="D167" s="43">
        <v>19</v>
      </c>
      <c r="E167" s="43">
        <v>81</v>
      </c>
      <c r="F167" s="43">
        <v>5</v>
      </c>
    </row>
    <row r="168" spans="2:6" ht="15.75" hidden="1" customHeight="1" x14ac:dyDescent="0.3">
      <c r="B168" s="43">
        <v>164</v>
      </c>
      <c r="C168" s="42" t="s">
        <v>41</v>
      </c>
      <c r="D168" s="43">
        <v>31</v>
      </c>
      <c r="E168" s="43">
        <v>81</v>
      </c>
      <c r="F168" s="43">
        <v>93</v>
      </c>
    </row>
    <row r="169" spans="2:6" ht="15.75" customHeight="1" x14ac:dyDescent="0.3">
      <c r="B169" s="43">
        <v>165</v>
      </c>
      <c r="C169" s="42" t="s">
        <v>47</v>
      </c>
      <c r="D169" s="43">
        <v>50</v>
      </c>
      <c r="E169" s="43">
        <v>85</v>
      </c>
      <c r="F169" s="43">
        <v>26</v>
      </c>
    </row>
    <row r="170" spans="2:6" ht="15.75" hidden="1" customHeight="1" x14ac:dyDescent="0.3">
      <c r="B170" s="43">
        <v>166</v>
      </c>
      <c r="C170" s="42" t="s">
        <v>41</v>
      </c>
      <c r="D170" s="43">
        <v>36</v>
      </c>
      <c r="E170" s="43">
        <v>85</v>
      </c>
      <c r="F170" s="43">
        <v>75</v>
      </c>
    </row>
    <row r="171" spans="2:6" ht="15.75" customHeight="1" x14ac:dyDescent="0.3">
      <c r="B171" s="43">
        <v>167</v>
      </c>
      <c r="C171" s="42" t="s">
        <v>47</v>
      </c>
      <c r="D171" s="43">
        <v>42</v>
      </c>
      <c r="E171" s="43">
        <v>86</v>
      </c>
      <c r="F171" s="43">
        <v>20</v>
      </c>
    </row>
    <row r="172" spans="2:6" ht="15.75" hidden="1" customHeight="1" x14ac:dyDescent="0.3">
      <c r="B172" s="43">
        <v>168</v>
      </c>
      <c r="C172" s="42" t="s">
        <v>41</v>
      </c>
      <c r="D172" s="43">
        <v>33</v>
      </c>
      <c r="E172" s="43">
        <v>86</v>
      </c>
      <c r="F172" s="43">
        <v>95</v>
      </c>
    </row>
    <row r="173" spans="2:6" ht="15.75" hidden="1" customHeight="1" x14ac:dyDescent="0.3">
      <c r="B173" s="43">
        <v>169</v>
      </c>
      <c r="C173" s="42" t="s">
        <v>41</v>
      </c>
      <c r="D173" s="43">
        <v>36</v>
      </c>
      <c r="E173" s="43">
        <v>87</v>
      </c>
      <c r="F173" s="43">
        <v>27</v>
      </c>
    </row>
    <row r="174" spans="2:6" ht="15.75" customHeight="1" x14ac:dyDescent="0.3">
      <c r="B174" s="43">
        <v>170</v>
      </c>
      <c r="C174" s="42" t="s">
        <v>47</v>
      </c>
      <c r="D174" s="43">
        <v>32</v>
      </c>
      <c r="E174" s="43">
        <v>87</v>
      </c>
      <c r="F174" s="43">
        <v>63</v>
      </c>
    </row>
    <row r="175" spans="2:6" ht="15.75" customHeight="1" x14ac:dyDescent="0.3">
      <c r="B175" s="43">
        <v>171</v>
      </c>
      <c r="C175" s="42" t="s">
        <v>47</v>
      </c>
      <c r="D175" s="43">
        <v>40</v>
      </c>
      <c r="E175" s="43">
        <v>87</v>
      </c>
      <c r="F175" s="43">
        <v>13</v>
      </c>
    </row>
    <row r="176" spans="2:6" ht="15.75" customHeight="1" x14ac:dyDescent="0.3">
      <c r="B176" s="43">
        <v>172</v>
      </c>
      <c r="C176" s="42" t="s">
        <v>47</v>
      </c>
      <c r="D176" s="43">
        <v>28</v>
      </c>
      <c r="E176" s="43">
        <v>87</v>
      </c>
      <c r="F176" s="43">
        <v>75</v>
      </c>
    </row>
    <row r="177" spans="2:6" ht="15.75" customHeight="1" x14ac:dyDescent="0.3">
      <c r="B177" s="43">
        <v>173</v>
      </c>
      <c r="C177" s="42" t="s">
        <v>47</v>
      </c>
      <c r="D177" s="43">
        <v>36</v>
      </c>
      <c r="E177" s="43">
        <v>87</v>
      </c>
      <c r="F177" s="43">
        <v>10</v>
      </c>
    </row>
    <row r="178" spans="2:6" ht="15.75" customHeight="1" x14ac:dyDescent="0.3">
      <c r="B178" s="43">
        <v>174</v>
      </c>
      <c r="C178" s="42" t="s">
        <v>47</v>
      </c>
      <c r="D178" s="43">
        <v>36</v>
      </c>
      <c r="E178" s="43">
        <v>87</v>
      </c>
      <c r="F178" s="43">
        <v>92</v>
      </c>
    </row>
    <row r="179" spans="2:6" ht="15.75" hidden="1" customHeight="1" x14ac:dyDescent="0.3">
      <c r="B179" s="43">
        <v>175</v>
      </c>
      <c r="C179" s="42" t="s">
        <v>41</v>
      </c>
      <c r="D179" s="43">
        <v>52</v>
      </c>
      <c r="E179" s="43">
        <v>88</v>
      </c>
      <c r="F179" s="43">
        <v>13</v>
      </c>
    </row>
    <row r="180" spans="2:6" ht="15.75" hidden="1" customHeight="1" x14ac:dyDescent="0.3">
      <c r="B180" s="43">
        <v>176</v>
      </c>
      <c r="C180" s="42" t="s">
        <v>41</v>
      </c>
      <c r="D180" s="43">
        <v>30</v>
      </c>
      <c r="E180" s="43">
        <v>88</v>
      </c>
      <c r="F180" s="43">
        <v>86</v>
      </c>
    </row>
    <row r="181" spans="2:6" ht="15.75" customHeight="1" x14ac:dyDescent="0.3">
      <c r="B181" s="43">
        <v>177</v>
      </c>
      <c r="C181" s="42" t="s">
        <v>47</v>
      </c>
      <c r="D181" s="43">
        <v>58</v>
      </c>
      <c r="E181" s="43">
        <v>88</v>
      </c>
      <c r="F181" s="43">
        <v>15</v>
      </c>
    </row>
    <row r="182" spans="2:6" ht="15.75" customHeight="1" x14ac:dyDescent="0.3">
      <c r="B182" s="43">
        <v>178</v>
      </c>
      <c r="C182" s="42" t="s">
        <v>47</v>
      </c>
      <c r="D182" s="43">
        <v>27</v>
      </c>
      <c r="E182" s="43">
        <v>88</v>
      </c>
      <c r="F182" s="43">
        <v>69</v>
      </c>
    </row>
    <row r="183" spans="2:6" ht="15.75" customHeight="1" x14ac:dyDescent="0.3">
      <c r="B183" s="43">
        <v>179</v>
      </c>
      <c r="C183" s="42" t="s">
        <v>47</v>
      </c>
      <c r="D183" s="43">
        <v>59</v>
      </c>
      <c r="E183" s="43">
        <v>93</v>
      </c>
      <c r="F183" s="43">
        <v>14</v>
      </c>
    </row>
    <row r="184" spans="2:6" ht="15.75" customHeight="1" x14ac:dyDescent="0.3">
      <c r="B184" s="43">
        <v>180</v>
      </c>
      <c r="C184" s="42" t="s">
        <v>47</v>
      </c>
      <c r="D184" s="43">
        <v>35</v>
      </c>
      <c r="E184" s="43">
        <v>93</v>
      </c>
      <c r="F184" s="43">
        <v>90</v>
      </c>
    </row>
    <row r="185" spans="2:6" ht="15.75" hidden="1" customHeight="1" x14ac:dyDescent="0.3">
      <c r="B185" s="43">
        <v>181</v>
      </c>
      <c r="C185" s="42" t="s">
        <v>41</v>
      </c>
      <c r="D185" s="43">
        <v>37</v>
      </c>
      <c r="E185" s="43">
        <v>97</v>
      </c>
      <c r="F185" s="43">
        <v>32</v>
      </c>
    </row>
    <row r="186" spans="2:6" ht="15.75" hidden="1" customHeight="1" x14ac:dyDescent="0.3">
      <c r="B186" s="43">
        <v>182</v>
      </c>
      <c r="C186" s="42" t="s">
        <v>41</v>
      </c>
      <c r="D186" s="43">
        <v>32</v>
      </c>
      <c r="E186" s="43">
        <v>97</v>
      </c>
      <c r="F186" s="43">
        <v>86</v>
      </c>
    </row>
    <row r="187" spans="2:6" ht="15.75" customHeight="1" x14ac:dyDescent="0.3">
      <c r="B187" s="43">
        <v>183</v>
      </c>
      <c r="C187" s="42" t="s">
        <v>47</v>
      </c>
      <c r="D187" s="43">
        <v>46</v>
      </c>
      <c r="E187" s="43">
        <v>98</v>
      </c>
      <c r="F187" s="43">
        <v>15</v>
      </c>
    </row>
    <row r="188" spans="2:6" ht="15.75" hidden="1" customHeight="1" x14ac:dyDescent="0.3">
      <c r="B188" s="43">
        <v>184</v>
      </c>
      <c r="C188" s="42" t="s">
        <v>41</v>
      </c>
      <c r="D188" s="43">
        <v>29</v>
      </c>
      <c r="E188" s="43">
        <v>98</v>
      </c>
      <c r="F188" s="43">
        <v>88</v>
      </c>
    </row>
    <row r="189" spans="2:6" ht="15.75" hidden="1" customHeight="1" x14ac:dyDescent="0.3">
      <c r="B189" s="43">
        <v>185</v>
      </c>
      <c r="C189" s="42" t="s">
        <v>41</v>
      </c>
      <c r="D189" s="43">
        <v>41</v>
      </c>
      <c r="E189" s="43">
        <v>99</v>
      </c>
      <c r="F189" s="43">
        <v>39</v>
      </c>
    </row>
    <row r="190" spans="2:6" ht="15.75" customHeight="1" x14ac:dyDescent="0.3">
      <c r="B190" s="43">
        <v>186</v>
      </c>
      <c r="C190" s="42" t="s">
        <v>47</v>
      </c>
      <c r="D190" s="43">
        <v>30</v>
      </c>
      <c r="E190" s="43">
        <v>99</v>
      </c>
      <c r="F190" s="43">
        <v>97</v>
      </c>
    </row>
    <row r="191" spans="2:6" ht="15.75" hidden="1" customHeight="1" x14ac:dyDescent="0.3">
      <c r="B191" s="43">
        <v>187</v>
      </c>
      <c r="C191" s="42" t="s">
        <v>41</v>
      </c>
      <c r="D191" s="43">
        <v>54</v>
      </c>
      <c r="E191" s="43">
        <v>101</v>
      </c>
      <c r="F191" s="43">
        <v>24</v>
      </c>
    </row>
    <row r="192" spans="2:6" ht="15.75" customHeight="1" x14ac:dyDescent="0.3">
      <c r="B192" s="43">
        <v>188</v>
      </c>
      <c r="C192" s="42" t="s">
        <v>47</v>
      </c>
      <c r="D192" s="43">
        <v>28</v>
      </c>
      <c r="E192" s="43">
        <v>101</v>
      </c>
      <c r="F192" s="43">
        <v>68</v>
      </c>
    </row>
    <row r="193" spans="2:6" ht="15.75" hidden="1" customHeight="1" x14ac:dyDescent="0.3">
      <c r="B193" s="43">
        <v>189</v>
      </c>
      <c r="C193" s="42" t="s">
        <v>41</v>
      </c>
      <c r="D193" s="43">
        <v>41</v>
      </c>
      <c r="E193" s="43">
        <v>103</v>
      </c>
      <c r="F193" s="43">
        <v>17</v>
      </c>
    </row>
    <row r="194" spans="2:6" ht="15.75" hidden="1" customHeight="1" x14ac:dyDescent="0.3">
      <c r="B194" s="43">
        <v>190</v>
      </c>
      <c r="C194" s="42" t="s">
        <v>41</v>
      </c>
      <c r="D194" s="43">
        <v>36</v>
      </c>
      <c r="E194" s="43">
        <v>103</v>
      </c>
      <c r="F194" s="43">
        <v>85</v>
      </c>
    </row>
    <row r="195" spans="2:6" ht="15.75" hidden="1" customHeight="1" x14ac:dyDescent="0.3">
      <c r="B195" s="43">
        <v>191</v>
      </c>
      <c r="C195" s="42" t="s">
        <v>41</v>
      </c>
      <c r="D195" s="43">
        <v>34</v>
      </c>
      <c r="E195" s="43">
        <v>103</v>
      </c>
      <c r="F195" s="43">
        <v>23</v>
      </c>
    </row>
    <row r="196" spans="2:6" ht="15.75" hidden="1" customHeight="1" x14ac:dyDescent="0.3">
      <c r="B196" s="43">
        <v>192</v>
      </c>
      <c r="C196" s="42" t="s">
        <v>41</v>
      </c>
      <c r="D196" s="43">
        <v>32</v>
      </c>
      <c r="E196" s="43">
        <v>103</v>
      </c>
      <c r="F196" s="43">
        <v>69</v>
      </c>
    </row>
    <row r="197" spans="2:6" ht="15.75" customHeight="1" x14ac:dyDescent="0.3">
      <c r="B197" s="43">
        <v>193</v>
      </c>
      <c r="C197" s="42" t="s">
        <v>47</v>
      </c>
      <c r="D197" s="43">
        <v>33</v>
      </c>
      <c r="E197" s="43">
        <v>113</v>
      </c>
      <c r="F197" s="43">
        <v>8</v>
      </c>
    </row>
    <row r="198" spans="2:6" ht="15.75" hidden="1" customHeight="1" x14ac:dyDescent="0.3">
      <c r="B198" s="43">
        <v>194</v>
      </c>
      <c r="C198" s="42" t="s">
        <v>41</v>
      </c>
      <c r="D198" s="43">
        <v>38</v>
      </c>
      <c r="E198" s="43">
        <v>113</v>
      </c>
      <c r="F198" s="43">
        <v>91</v>
      </c>
    </row>
    <row r="199" spans="2:6" ht="15.75" hidden="1" customHeight="1" x14ac:dyDescent="0.3">
      <c r="B199" s="43">
        <v>195</v>
      </c>
      <c r="C199" s="42" t="s">
        <v>41</v>
      </c>
      <c r="D199" s="43">
        <v>47</v>
      </c>
      <c r="E199" s="43">
        <v>120</v>
      </c>
      <c r="F199" s="43">
        <v>16</v>
      </c>
    </row>
    <row r="200" spans="2:6" ht="15.75" hidden="1" customHeight="1" x14ac:dyDescent="0.3">
      <c r="B200" s="43">
        <v>196</v>
      </c>
      <c r="C200" s="42" t="s">
        <v>41</v>
      </c>
      <c r="D200" s="43">
        <v>35</v>
      </c>
      <c r="E200" s="43">
        <v>120</v>
      </c>
      <c r="F200" s="43">
        <v>79</v>
      </c>
    </row>
    <row r="201" spans="2:6" ht="15.75" hidden="1" customHeight="1" x14ac:dyDescent="0.3">
      <c r="B201" s="43">
        <v>197</v>
      </c>
      <c r="C201" s="42" t="s">
        <v>41</v>
      </c>
      <c r="D201" s="43">
        <v>45</v>
      </c>
      <c r="E201" s="43">
        <v>126</v>
      </c>
      <c r="F201" s="43">
        <v>28</v>
      </c>
    </row>
    <row r="202" spans="2:6" ht="15.75" customHeight="1" x14ac:dyDescent="0.3">
      <c r="B202" s="43">
        <v>198</v>
      </c>
      <c r="C202" s="42" t="s">
        <v>47</v>
      </c>
      <c r="D202" s="43">
        <v>32</v>
      </c>
      <c r="E202" s="43">
        <v>126</v>
      </c>
      <c r="F202" s="43">
        <v>74</v>
      </c>
    </row>
    <row r="203" spans="2:6" ht="15.75" customHeight="1" x14ac:dyDescent="0.3">
      <c r="B203" s="43">
        <v>199</v>
      </c>
      <c r="C203" s="42" t="s">
        <v>47</v>
      </c>
      <c r="D203" s="43">
        <v>32</v>
      </c>
      <c r="E203" s="43">
        <v>137</v>
      </c>
      <c r="F203" s="43">
        <v>18</v>
      </c>
    </row>
    <row r="204" spans="2:6" ht="15.75" customHeight="1" x14ac:dyDescent="0.3">
      <c r="B204" s="43">
        <v>200</v>
      </c>
      <c r="C204" s="42" t="s">
        <v>47</v>
      </c>
      <c r="D204" s="43">
        <v>30</v>
      </c>
      <c r="E204" s="43">
        <v>137</v>
      </c>
      <c r="F204" s="43">
        <v>83</v>
      </c>
    </row>
    <row r="205" spans="2:6" ht="15.75" customHeight="1" x14ac:dyDescent="0.25"/>
    <row r="206" spans="2:6" ht="15.75" customHeight="1" x14ac:dyDescent="0.25"/>
    <row r="207" spans="2:6" ht="15.75" customHeight="1" x14ac:dyDescent="0.25"/>
    <row r="208" spans="2:6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B4:F204" xr:uid="{00000000-0001-0000-0700-000000000000}">
    <filterColumn colId="1">
      <filters>
        <filter val="Male"/>
      </filters>
    </filterColumn>
    <filterColumn colId="2">
      <customFilters>
        <customFilter operator="greaterThan" val="22"/>
      </customFilters>
    </filterColumn>
  </autoFilter>
  <mergeCells count="1">
    <mergeCell ref="H1:K3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B1:M1000"/>
  <sheetViews>
    <sheetView workbookViewId="0">
      <selection activeCell="I21" sqref="I21"/>
    </sheetView>
  </sheetViews>
  <sheetFormatPr defaultColWidth="12.6640625" defaultRowHeight="15" customHeight="1" x14ac:dyDescent="0.25"/>
  <cols>
    <col min="2" max="2" width="15.88671875" customWidth="1"/>
    <col min="3" max="3" width="13.44140625" customWidth="1"/>
    <col min="4" max="4" width="11.109375" customWidth="1"/>
    <col min="5" max="5" width="17.109375" customWidth="1"/>
    <col min="6" max="6" width="13.21875" customWidth="1"/>
    <col min="7" max="7" width="16.88671875" customWidth="1"/>
  </cols>
  <sheetData>
    <row r="1" spans="2:13" ht="15.75" customHeight="1" x14ac:dyDescent="0.25"/>
    <row r="2" spans="2:13" ht="15.75" customHeight="1" x14ac:dyDescent="0.25">
      <c r="I2" s="84" t="s">
        <v>321</v>
      </c>
      <c r="J2" s="58"/>
      <c r="K2" s="58"/>
      <c r="L2" s="58"/>
      <c r="M2" s="58"/>
    </row>
    <row r="3" spans="2:13" ht="15.75" customHeight="1" x14ac:dyDescent="0.25">
      <c r="I3" s="65"/>
      <c r="J3" s="66"/>
      <c r="K3" s="66"/>
      <c r="L3" s="66"/>
      <c r="M3" s="66"/>
    </row>
    <row r="4" spans="2:13" ht="15.75" customHeight="1" x14ac:dyDescent="0.25">
      <c r="I4" s="65"/>
      <c r="J4" s="66"/>
      <c r="K4" s="66"/>
      <c r="L4" s="66"/>
      <c r="M4" s="66"/>
    </row>
    <row r="6" spans="2:13" ht="23.25" customHeight="1" x14ac:dyDescent="0.45">
      <c r="B6" s="44" t="s">
        <v>322</v>
      </c>
      <c r="C6" s="45" t="s">
        <v>323</v>
      </c>
      <c r="D6" s="45" t="s">
        <v>324</v>
      </c>
      <c r="E6" s="45" t="s">
        <v>325</v>
      </c>
      <c r="F6" s="45" t="s">
        <v>326</v>
      </c>
      <c r="G6" s="46" t="s">
        <v>327</v>
      </c>
    </row>
    <row r="7" spans="2:13" ht="15.75" customHeight="1" x14ac:dyDescent="0.35">
      <c r="B7" s="47">
        <v>225</v>
      </c>
      <c r="C7" s="48" t="s">
        <v>335</v>
      </c>
      <c r="D7" s="48" t="s">
        <v>331</v>
      </c>
      <c r="E7" s="48" t="s">
        <v>334</v>
      </c>
      <c r="F7" s="48" t="s">
        <v>332</v>
      </c>
      <c r="G7" s="48">
        <v>15</v>
      </c>
    </row>
    <row r="8" spans="2:13" ht="15.75" customHeight="1" x14ac:dyDescent="0.35">
      <c r="B8" s="47">
        <v>209</v>
      </c>
      <c r="C8" s="48" t="s">
        <v>328</v>
      </c>
      <c r="D8" s="48" t="s">
        <v>329</v>
      </c>
      <c r="E8" s="48" t="s">
        <v>334</v>
      </c>
      <c r="F8" s="48" t="s">
        <v>332</v>
      </c>
      <c r="G8" s="48">
        <v>300</v>
      </c>
    </row>
    <row r="9" spans="2:13" ht="15.75" customHeight="1" x14ac:dyDescent="0.35">
      <c r="B9" s="47">
        <v>214</v>
      </c>
      <c r="C9" s="48" t="s">
        <v>328</v>
      </c>
      <c r="D9" s="48" t="s">
        <v>331</v>
      </c>
      <c r="E9" s="48" t="s">
        <v>334</v>
      </c>
      <c r="F9" s="48" t="s">
        <v>332</v>
      </c>
      <c r="G9" s="48">
        <v>500</v>
      </c>
    </row>
    <row r="10" spans="2:13" ht="15.75" customHeight="1" x14ac:dyDescent="0.35">
      <c r="B10" s="47">
        <v>239</v>
      </c>
      <c r="C10" s="48" t="s">
        <v>335</v>
      </c>
      <c r="D10" s="48" t="s">
        <v>332</v>
      </c>
      <c r="E10" s="48" t="s">
        <v>334</v>
      </c>
      <c r="F10" s="48" t="s">
        <v>333</v>
      </c>
      <c r="G10" s="48">
        <v>10</v>
      </c>
    </row>
    <row r="11" spans="2:13" ht="15.75" customHeight="1" x14ac:dyDescent="0.35">
      <c r="B11" s="47">
        <v>224</v>
      </c>
      <c r="C11" s="48" t="s">
        <v>335</v>
      </c>
      <c r="D11" s="48" t="s">
        <v>336</v>
      </c>
      <c r="E11" s="48" t="s">
        <v>334</v>
      </c>
      <c r="F11" s="48" t="s">
        <v>333</v>
      </c>
      <c r="G11" s="48">
        <v>35</v>
      </c>
    </row>
    <row r="12" spans="2:13" ht="15.75" customHeight="1" x14ac:dyDescent="0.35">
      <c r="B12" s="47">
        <v>206</v>
      </c>
      <c r="C12" s="48" t="s">
        <v>328</v>
      </c>
      <c r="D12" s="48" t="s">
        <v>332</v>
      </c>
      <c r="E12" s="48" t="s">
        <v>330</v>
      </c>
      <c r="F12" s="48" t="s">
        <v>333</v>
      </c>
      <c r="G12" s="48">
        <v>100</v>
      </c>
    </row>
    <row r="13" spans="2:13" ht="15.75" customHeight="1" x14ac:dyDescent="0.35">
      <c r="B13" s="47">
        <v>212</v>
      </c>
      <c r="C13" s="48" t="s">
        <v>328</v>
      </c>
      <c r="D13" s="48" t="s">
        <v>332</v>
      </c>
      <c r="E13" s="48" t="s">
        <v>334</v>
      </c>
      <c r="F13" s="48" t="s">
        <v>333</v>
      </c>
      <c r="G13" s="48">
        <v>250</v>
      </c>
    </row>
    <row r="14" spans="2:13" ht="15.75" customHeight="1" x14ac:dyDescent="0.35">
      <c r="B14" s="47">
        <v>213</v>
      </c>
      <c r="C14" s="48" t="s">
        <v>328</v>
      </c>
      <c r="D14" s="48" t="s">
        <v>329</v>
      </c>
      <c r="E14" s="48" t="s">
        <v>334</v>
      </c>
      <c r="F14" s="48" t="s">
        <v>331</v>
      </c>
      <c r="G14" s="48">
        <v>100</v>
      </c>
    </row>
    <row r="15" spans="2:13" ht="15.75" customHeight="1" x14ac:dyDescent="0.35">
      <c r="B15" s="47">
        <v>253</v>
      </c>
      <c r="C15" s="48" t="s">
        <v>337</v>
      </c>
      <c r="D15" s="48" t="s">
        <v>329</v>
      </c>
      <c r="E15" s="48" t="s">
        <v>334</v>
      </c>
      <c r="F15" s="48" t="s">
        <v>331</v>
      </c>
      <c r="G15" s="48">
        <v>100</v>
      </c>
    </row>
    <row r="16" spans="2:13" ht="15.75" customHeight="1" x14ac:dyDescent="0.35">
      <c r="B16" s="47">
        <v>203</v>
      </c>
      <c r="C16" s="48" t="s">
        <v>328</v>
      </c>
      <c r="D16" s="48" t="s">
        <v>329</v>
      </c>
      <c r="E16" s="48" t="s">
        <v>330</v>
      </c>
      <c r="F16" s="48" t="s">
        <v>331</v>
      </c>
      <c r="G16" s="48">
        <v>200</v>
      </c>
    </row>
    <row r="17" spans="2:7" ht="15.75" customHeight="1" x14ac:dyDescent="0.35">
      <c r="B17" s="47">
        <v>217</v>
      </c>
      <c r="C17" s="48" t="s">
        <v>335</v>
      </c>
      <c r="D17" s="48" t="s">
        <v>336</v>
      </c>
      <c r="E17" s="48" t="s">
        <v>334</v>
      </c>
      <c r="F17" s="48" t="s">
        <v>331</v>
      </c>
      <c r="G17" s="48">
        <v>580</v>
      </c>
    </row>
    <row r="18" spans="2:7" ht="15.75" customHeight="1" x14ac:dyDescent="0.35">
      <c r="B18" s="47">
        <v>210</v>
      </c>
      <c r="C18" s="48" t="s">
        <v>328</v>
      </c>
      <c r="D18" s="48" t="s">
        <v>331</v>
      </c>
      <c r="E18" s="48" t="s">
        <v>334</v>
      </c>
      <c r="F18" s="48" t="s">
        <v>329</v>
      </c>
      <c r="G18" s="48">
        <v>150</v>
      </c>
    </row>
    <row r="19" spans="2:7" ht="15.75" customHeight="1" x14ac:dyDescent="0.35">
      <c r="B19" s="47">
        <v>234</v>
      </c>
      <c r="C19" s="48" t="s">
        <v>335</v>
      </c>
      <c r="D19" s="48" t="s">
        <v>336</v>
      </c>
      <c r="E19" s="48" t="s">
        <v>330</v>
      </c>
      <c r="F19" s="48" t="s">
        <v>329</v>
      </c>
      <c r="G19" s="48">
        <v>250</v>
      </c>
    </row>
    <row r="20" spans="2:7" ht="15.75" customHeight="1" x14ac:dyDescent="0.35">
      <c r="B20" s="47">
        <v>216</v>
      </c>
      <c r="C20" s="48" t="s">
        <v>335</v>
      </c>
      <c r="D20" s="48" t="s">
        <v>336</v>
      </c>
      <c r="E20" s="48" t="s">
        <v>334</v>
      </c>
      <c r="F20" s="48" t="s">
        <v>329</v>
      </c>
      <c r="G20" s="48">
        <v>480</v>
      </c>
    </row>
    <row r="21" spans="2:7" ht="15.75" customHeight="1" x14ac:dyDescent="0.25"/>
    <row r="22" spans="2:7" ht="15.75" customHeight="1" x14ac:dyDescent="0.25"/>
    <row r="23" spans="2:7" ht="15.75" customHeight="1" x14ac:dyDescent="0.25"/>
    <row r="24" spans="2:7" ht="15.75" customHeight="1" x14ac:dyDescent="0.25"/>
    <row r="25" spans="2:7" ht="15.75" customHeight="1" x14ac:dyDescent="0.25"/>
    <row r="26" spans="2:7" ht="15.75" customHeight="1" x14ac:dyDescent="0.25"/>
    <row r="27" spans="2:7" ht="15.75" customHeight="1" x14ac:dyDescent="0.25"/>
    <row r="28" spans="2:7" ht="15.75" customHeight="1" x14ac:dyDescent="0.25"/>
    <row r="29" spans="2:7" ht="15.75" customHeight="1" x14ac:dyDescent="0.25"/>
    <row r="30" spans="2:7" ht="15.75" customHeight="1" x14ac:dyDescent="0.25"/>
    <row r="31" spans="2:7" ht="15.75" customHeight="1" x14ac:dyDescent="0.25"/>
    <row r="32" spans="2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B7:G20">
    <sortCondition ref="F7:F20"/>
    <sortCondition ref="G7:G20"/>
  </sortState>
  <mergeCells count="1">
    <mergeCell ref="I2:M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C1:M1000"/>
  <sheetViews>
    <sheetView workbookViewId="0">
      <selection activeCell="F11" sqref="F11"/>
    </sheetView>
  </sheetViews>
  <sheetFormatPr defaultColWidth="12.6640625" defaultRowHeight="15" customHeight="1" x14ac:dyDescent="0.25"/>
  <cols>
    <col min="3" max="3" width="13.88671875" customWidth="1"/>
    <col min="4" max="4" width="12.33203125" customWidth="1"/>
    <col min="5" max="5" width="13.6640625" customWidth="1"/>
    <col min="6" max="6" width="26.88671875" customWidth="1"/>
    <col min="7" max="7" width="11.88671875" customWidth="1"/>
    <col min="8" max="8" width="11.21875" customWidth="1"/>
    <col min="9" max="9" width="12.33203125" customWidth="1"/>
    <col min="13" max="13" width="15.88671875" customWidth="1"/>
  </cols>
  <sheetData>
    <row r="1" spans="3:13" ht="15.75" customHeight="1" x14ac:dyDescent="0.25"/>
    <row r="2" spans="3:13" ht="15.75" customHeight="1" x14ac:dyDescent="0.25">
      <c r="C2" s="85" t="s">
        <v>338</v>
      </c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3:13" ht="15.75" customHeight="1" x14ac:dyDescent="0.25">
      <c r="C3" s="88"/>
      <c r="D3" s="89"/>
      <c r="E3" s="89"/>
      <c r="F3" s="89"/>
      <c r="G3" s="89"/>
      <c r="H3" s="89"/>
      <c r="I3" s="89"/>
      <c r="J3" s="89"/>
      <c r="K3" s="89"/>
      <c r="L3" s="89"/>
      <c r="M3" s="90"/>
    </row>
    <row r="4" spans="3:13" ht="15.75" customHeight="1" x14ac:dyDescent="0.25"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3:13" ht="15.75" customHeight="1" x14ac:dyDescent="0.25"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3:13" ht="15.75" customHeight="1" x14ac:dyDescent="0.3">
      <c r="C6" s="42" t="s">
        <v>339</v>
      </c>
      <c r="D6" s="42" t="s">
        <v>340</v>
      </c>
      <c r="E6" s="42" t="s">
        <v>341</v>
      </c>
      <c r="F6" s="42" t="s">
        <v>37</v>
      </c>
      <c r="G6" s="42" t="s">
        <v>342</v>
      </c>
      <c r="H6" s="42" t="s">
        <v>343</v>
      </c>
      <c r="I6" s="42" t="s">
        <v>344</v>
      </c>
      <c r="J6" s="42" t="s">
        <v>345</v>
      </c>
      <c r="K6" s="42" t="s">
        <v>346</v>
      </c>
      <c r="L6" s="42" t="s">
        <v>347</v>
      </c>
      <c r="M6" s="42" t="s">
        <v>348</v>
      </c>
    </row>
    <row r="7" spans="3:13" ht="15.75" hidden="1" customHeight="1" x14ac:dyDescent="0.3">
      <c r="C7" s="43">
        <v>100</v>
      </c>
      <c r="D7" s="42" t="s">
        <v>349</v>
      </c>
      <c r="E7" s="42" t="s">
        <v>350</v>
      </c>
      <c r="F7" s="42" t="s">
        <v>351</v>
      </c>
      <c r="G7" s="42" t="s">
        <v>352</v>
      </c>
      <c r="H7" s="49">
        <v>37881</v>
      </c>
      <c r="I7" s="42" t="s">
        <v>353</v>
      </c>
      <c r="J7" s="43">
        <v>24000</v>
      </c>
      <c r="K7" s="43">
        <v>0</v>
      </c>
      <c r="L7" s="43">
        <v>0</v>
      </c>
      <c r="M7" s="43">
        <v>90</v>
      </c>
    </row>
    <row r="8" spans="3:13" ht="15.75" hidden="1" customHeight="1" x14ac:dyDescent="0.3">
      <c r="C8" s="43">
        <v>101</v>
      </c>
      <c r="D8" s="42" t="s">
        <v>354</v>
      </c>
      <c r="E8" s="42" t="s">
        <v>355</v>
      </c>
      <c r="F8" s="42" t="s">
        <v>356</v>
      </c>
      <c r="G8" s="42" t="s">
        <v>357</v>
      </c>
      <c r="H8" s="49">
        <v>39366</v>
      </c>
      <c r="I8" s="42" t="s">
        <v>358</v>
      </c>
      <c r="J8" s="43">
        <v>17000</v>
      </c>
      <c r="K8" s="43">
        <v>0</v>
      </c>
      <c r="L8" s="43">
        <v>100</v>
      </c>
      <c r="M8" s="43">
        <v>90</v>
      </c>
    </row>
    <row r="9" spans="3:13" ht="15.75" hidden="1" customHeight="1" x14ac:dyDescent="0.3">
      <c r="C9" s="43">
        <v>102</v>
      </c>
      <c r="D9" s="42" t="s">
        <v>359</v>
      </c>
      <c r="E9" s="42" t="s">
        <v>360</v>
      </c>
      <c r="F9" s="42" t="s">
        <v>361</v>
      </c>
      <c r="G9" s="42" t="s">
        <v>362</v>
      </c>
      <c r="H9" s="49">
        <v>37944</v>
      </c>
      <c r="I9" s="42" t="s">
        <v>358</v>
      </c>
      <c r="J9" s="43">
        <v>17000</v>
      </c>
      <c r="K9" s="43">
        <v>0</v>
      </c>
      <c r="L9" s="43">
        <v>100</v>
      </c>
      <c r="M9" s="43">
        <v>90</v>
      </c>
    </row>
    <row r="10" spans="3:13" ht="15.75" hidden="1" customHeight="1" x14ac:dyDescent="0.3">
      <c r="C10" s="43">
        <v>103</v>
      </c>
      <c r="D10" s="42" t="s">
        <v>363</v>
      </c>
      <c r="E10" s="42" t="s">
        <v>364</v>
      </c>
      <c r="F10" s="42" t="s">
        <v>365</v>
      </c>
      <c r="G10" s="42" t="s">
        <v>366</v>
      </c>
      <c r="H10" s="49">
        <v>38524</v>
      </c>
      <c r="I10" s="42" t="s">
        <v>367</v>
      </c>
      <c r="J10" s="43">
        <v>9000</v>
      </c>
      <c r="K10" s="43">
        <v>0</v>
      </c>
      <c r="L10" s="43">
        <v>102</v>
      </c>
      <c r="M10" s="43">
        <v>60</v>
      </c>
    </row>
    <row r="11" spans="3:13" ht="15.75" hidden="1" customHeight="1" x14ac:dyDescent="0.3">
      <c r="C11" s="43">
        <v>104</v>
      </c>
      <c r="D11" s="42" t="s">
        <v>368</v>
      </c>
      <c r="E11" s="42" t="s">
        <v>369</v>
      </c>
      <c r="F11" s="42" t="s">
        <v>370</v>
      </c>
      <c r="G11" s="42" t="s">
        <v>371</v>
      </c>
      <c r="H11" s="49">
        <v>39588</v>
      </c>
      <c r="I11" s="42" t="s">
        <v>367</v>
      </c>
      <c r="J11" s="43">
        <v>6000</v>
      </c>
      <c r="K11" s="43">
        <v>0</v>
      </c>
      <c r="L11" s="43">
        <v>103</v>
      </c>
      <c r="M11" s="43">
        <v>60</v>
      </c>
    </row>
    <row r="12" spans="3:13" ht="15.75" hidden="1" customHeight="1" x14ac:dyDescent="0.3">
      <c r="C12" s="43">
        <v>105</v>
      </c>
      <c r="D12" s="42" t="s">
        <v>372</v>
      </c>
      <c r="E12" s="42" t="s">
        <v>373</v>
      </c>
      <c r="F12" s="42" t="s">
        <v>374</v>
      </c>
      <c r="G12" s="42" t="s">
        <v>375</v>
      </c>
      <c r="H12" s="49">
        <v>37889</v>
      </c>
      <c r="I12" s="42" t="s">
        <v>367</v>
      </c>
      <c r="J12" s="43">
        <v>4800</v>
      </c>
      <c r="K12" s="43">
        <v>0</v>
      </c>
      <c r="L12" s="43">
        <v>103</v>
      </c>
      <c r="M12" s="43">
        <v>60</v>
      </c>
    </row>
    <row r="13" spans="3:13" ht="15.75" hidden="1" customHeight="1" x14ac:dyDescent="0.3">
      <c r="C13" s="43">
        <v>106</v>
      </c>
      <c r="D13" s="42" t="s">
        <v>376</v>
      </c>
      <c r="E13" s="42" t="s">
        <v>377</v>
      </c>
      <c r="F13" s="42" t="s">
        <v>378</v>
      </c>
      <c r="G13" s="42" t="s">
        <v>379</v>
      </c>
      <c r="H13" s="49">
        <v>37904</v>
      </c>
      <c r="I13" s="42" t="s">
        <v>367</v>
      </c>
      <c r="J13" s="43">
        <v>4800</v>
      </c>
      <c r="K13" s="43">
        <v>0</v>
      </c>
      <c r="L13" s="43">
        <v>103</v>
      </c>
      <c r="M13" s="43">
        <v>60</v>
      </c>
    </row>
    <row r="14" spans="3:13" ht="15.75" hidden="1" customHeight="1" x14ac:dyDescent="0.3">
      <c r="C14" s="43">
        <v>107</v>
      </c>
      <c r="D14" s="42" t="s">
        <v>380</v>
      </c>
      <c r="E14" s="42" t="s">
        <v>381</v>
      </c>
      <c r="F14" s="42" t="s">
        <v>382</v>
      </c>
      <c r="G14" s="42" t="s">
        <v>383</v>
      </c>
      <c r="H14" s="49">
        <v>38880</v>
      </c>
      <c r="I14" s="42" t="s">
        <v>367</v>
      </c>
      <c r="J14" s="43">
        <v>4200</v>
      </c>
      <c r="K14" s="43">
        <v>0</v>
      </c>
      <c r="L14" s="43">
        <v>103</v>
      </c>
      <c r="M14" s="43">
        <v>60</v>
      </c>
    </row>
    <row r="15" spans="3:13" ht="15.75" customHeight="1" x14ac:dyDescent="0.3">
      <c r="C15" s="43">
        <v>108</v>
      </c>
      <c r="D15" s="42" t="s">
        <v>384</v>
      </c>
      <c r="E15" s="42" t="s">
        <v>385</v>
      </c>
      <c r="F15" s="42" t="s">
        <v>386</v>
      </c>
      <c r="G15" s="42" t="s">
        <v>387</v>
      </c>
      <c r="H15" s="49">
        <v>37686</v>
      </c>
      <c r="I15" s="42" t="s">
        <v>388</v>
      </c>
      <c r="J15" s="43">
        <v>12008</v>
      </c>
      <c r="K15" s="43">
        <v>0</v>
      </c>
      <c r="L15" s="43">
        <v>101</v>
      </c>
      <c r="M15" s="43">
        <v>100</v>
      </c>
    </row>
    <row r="16" spans="3:13" ht="15.75" customHeight="1" x14ac:dyDescent="0.3">
      <c r="C16" s="43">
        <v>109</v>
      </c>
      <c r="D16" s="42" t="s">
        <v>389</v>
      </c>
      <c r="E16" s="42" t="s">
        <v>390</v>
      </c>
      <c r="F16" s="42" t="s">
        <v>391</v>
      </c>
      <c r="G16" s="42" t="s">
        <v>392</v>
      </c>
      <c r="H16" s="49">
        <v>38788</v>
      </c>
      <c r="I16" s="42" t="s">
        <v>393</v>
      </c>
      <c r="J16" s="43">
        <v>9000</v>
      </c>
      <c r="K16" s="43">
        <v>0</v>
      </c>
      <c r="L16" s="43">
        <v>108</v>
      </c>
      <c r="M16" s="43">
        <v>100</v>
      </c>
    </row>
    <row r="17" spans="3:13" ht="15.75" customHeight="1" x14ac:dyDescent="0.3">
      <c r="C17" s="43">
        <v>110</v>
      </c>
      <c r="D17" s="42" t="s">
        <v>394</v>
      </c>
      <c r="E17" s="42" t="s">
        <v>395</v>
      </c>
      <c r="F17" s="42" t="s">
        <v>396</v>
      </c>
      <c r="G17" s="42" t="s">
        <v>397</v>
      </c>
      <c r="H17" s="49">
        <v>37952</v>
      </c>
      <c r="I17" s="42" t="s">
        <v>393</v>
      </c>
      <c r="J17" s="43">
        <v>8200</v>
      </c>
      <c r="K17" s="43">
        <v>0</v>
      </c>
      <c r="L17" s="43">
        <v>108</v>
      </c>
      <c r="M17" s="43">
        <v>100</v>
      </c>
    </row>
    <row r="18" spans="3:13" ht="15.75" customHeight="1" x14ac:dyDescent="0.3">
      <c r="C18" s="43">
        <v>111</v>
      </c>
      <c r="D18" s="42" t="s">
        <v>398</v>
      </c>
      <c r="E18" s="42" t="s">
        <v>399</v>
      </c>
      <c r="F18" s="42" t="s">
        <v>400</v>
      </c>
      <c r="G18" s="42" t="s">
        <v>401</v>
      </c>
      <c r="H18" s="49">
        <v>37890</v>
      </c>
      <c r="I18" s="42" t="s">
        <v>393</v>
      </c>
      <c r="J18" s="43">
        <v>7700</v>
      </c>
      <c r="K18" s="43">
        <v>0</v>
      </c>
      <c r="L18" s="43">
        <v>108</v>
      </c>
      <c r="M18" s="43">
        <v>100</v>
      </c>
    </row>
    <row r="19" spans="3:13" ht="15.75" customHeight="1" x14ac:dyDescent="0.3">
      <c r="C19" s="43">
        <v>112</v>
      </c>
      <c r="D19" s="42" t="s">
        <v>402</v>
      </c>
      <c r="E19" s="42" t="s">
        <v>403</v>
      </c>
      <c r="F19" s="42" t="s">
        <v>404</v>
      </c>
      <c r="G19" s="42" t="s">
        <v>405</v>
      </c>
      <c r="H19" s="49">
        <v>38323</v>
      </c>
      <c r="I19" s="42" t="s">
        <v>393</v>
      </c>
      <c r="J19" s="43">
        <v>7800</v>
      </c>
      <c r="K19" s="43">
        <v>0</v>
      </c>
      <c r="L19" s="43">
        <v>108</v>
      </c>
      <c r="M19" s="43">
        <v>100</v>
      </c>
    </row>
    <row r="20" spans="3:13" ht="15.75" customHeight="1" x14ac:dyDescent="0.3">
      <c r="C20" s="43">
        <v>113</v>
      </c>
      <c r="D20" s="42" t="s">
        <v>406</v>
      </c>
      <c r="E20" s="42" t="s">
        <v>407</v>
      </c>
      <c r="F20" s="42" t="s">
        <v>408</v>
      </c>
      <c r="G20" s="42" t="s">
        <v>409</v>
      </c>
      <c r="H20" s="49">
        <v>38607</v>
      </c>
      <c r="I20" s="42" t="s">
        <v>393</v>
      </c>
      <c r="J20" s="43">
        <v>6900</v>
      </c>
      <c r="K20" s="43">
        <v>0</v>
      </c>
      <c r="L20" s="43">
        <v>100</v>
      </c>
      <c r="M20" s="43">
        <v>100</v>
      </c>
    </row>
    <row r="21" spans="3:13" ht="15.75" hidden="1" customHeight="1" x14ac:dyDescent="0.3">
      <c r="C21" s="43">
        <v>114</v>
      </c>
      <c r="D21" s="42" t="s">
        <v>410</v>
      </c>
      <c r="E21" s="42" t="s">
        <v>411</v>
      </c>
      <c r="F21" s="42" t="s">
        <v>412</v>
      </c>
      <c r="G21" s="42" t="s">
        <v>413</v>
      </c>
      <c r="H21" s="49">
        <v>39453</v>
      </c>
      <c r="I21" s="42" t="s">
        <v>414</v>
      </c>
      <c r="J21" s="43">
        <v>11000</v>
      </c>
      <c r="K21" s="43">
        <v>0</v>
      </c>
      <c r="L21" s="43">
        <v>100</v>
      </c>
      <c r="M21" s="43">
        <v>30</v>
      </c>
    </row>
    <row r="22" spans="3:13" ht="15.75" hidden="1" customHeight="1" x14ac:dyDescent="0.3">
      <c r="C22" s="43">
        <v>115</v>
      </c>
      <c r="D22" s="42" t="s">
        <v>363</v>
      </c>
      <c r="E22" s="42" t="s">
        <v>415</v>
      </c>
      <c r="F22" s="42" t="s">
        <v>416</v>
      </c>
      <c r="G22" s="42" t="s">
        <v>417</v>
      </c>
      <c r="H22" s="49">
        <v>38637</v>
      </c>
      <c r="I22" s="42" t="s">
        <v>418</v>
      </c>
      <c r="J22" s="43">
        <v>3100</v>
      </c>
      <c r="K22" s="43">
        <v>0</v>
      </c>
      <c r="L22" s="43">
        <v>114</v>
      </c>
      <c r="M22" s="43">
        <v>30</v>
      </c>
    </row>
    <row r="23" spans="3:13" ht="15.75" hidden="1" customHeight="1" x14ac:dyDescent="0.3">
      <c r="C23" s="43">
        <v>116</v>
      </c>
      <c r="D23" s="42" t="s">
        <v>419</v>
      </c>
      <c r="E23" s="42" t="s">
        <v>420</v>
      </c>
      <c r="F23" s="42" t="s">
        <v>421</v>
      </c>
      <c r="G23" s="42" t="s">
        <v>422</v>
      </c>
      <c r="H23" s="49">
        <v>37928</v>
      </c>
      <c r="I23" s="42" t="s">
        <v>418</v>
      </c>
      <c r="J23" s="43">
        <v>2900</v>
      </c>
      <c r="K23" s="43">
        <v>0</v>
      </c>
      <c r="L23" s="43">
        <v>114</v>
      </c>
      <c r="M23" s="43">
        <v>30</v>
      </c>
    </row>
    <row r="24" spans="3:13" ht="15.75" hidden="1" customHeight="1" x14ac:dyDescent="0.3">
      <c r="C24" s="43">
        <v>117</v>
      </c>
      <c r="D24" s="42" t="s">
        <v>423</v>
      </c>
      <c r="E24" s="42" t="s">
        <v>424</v>
      </c>
      <c r="F24" s="42" t="s">
        <v>425</v>
      </c>
      <c r="G24" s="42" t="s">
        <v>426</v>
      </c>
      <c r="H24" s="49">
        <v>38841</v>
      </c>
      <c r="I24" s="42" t="s">
        <v>418</v>
      </c>
      <c r="J24" s="43">
        <v>2800</v>
      </c>
      <c r="K24" s="43">
        <v>0</v>
      </c>
      <c r="L24" s="43">
        <v>114</v>
      </c>
      <c r="M24" s="43">
        <v>30</v>
      </c>
    </row>
    <row r="25" spans="3:13" ht="15.75" hidden="1" customHeight="1" x14ac:dyDescent="0.3">
      <c r="C25" s="43">
        <v>118</v>
      </c>
      <c r="D25" s="42" t="s">
        <v>427</v>
      </c>
      <c r="E25" s="42" t="s">
        <v>428</v>
      </c>
      <c r="F25" s="42" t="s">
        <v>429</v>
      </c>
      <c r="G25" s="42" t="s">
        <v>430</v>
      </c>
      <c r="H25" s="49">
        <v>38910</v>
      </c>
      <c r="I25" s="42" t="s">
        <v>418</v>
      </c>
      <c r="J25" s="43">
        <v>2600</v>
      </c>
      <c r="K25" s="43">
        <v>0</v>
      </c>
      <c r="L25" s="43">
        <v>114</v>
      </c>
      <c r="M25" s="43">
        <v>30</v>
      </c>
    </row>
    <row r="26" spans="3:13" ht="15.75" hidden="1" customHeight="1" x14ac:dyDescent="0.3">
      <c r="C26" s="43">
        <v>119</v>
      </c>
      <c r="D26" s="42" t="s">
        <v>431</v>
      </c>
      <c r="E26" s="42" t="s">
        <v>432</v>
      </c>
      <c r="F26" s="42" t="s">
        <v>433</v>
      </c>
      <c r="G26" s="42" t="s">
        <v>434</v>
      </c>
      <c r="H26" s="49">
        <v>37778</v>
      </c>
      <c r="I26" s="42" t="s">
        <v>418</v>
      </c>
      <c r="J26" s="43">
        <v>2500</v>
      </c>
      <c r="K26" s="43">
        <v>0</v>
      </c>
      <c r="L26" s="43">
        <v>114</v>
      </c>
      <c r="M26" s="43">
        <v>50</v>
      </c>
    </row>
    <row r="27" spans="3:13" ht="15.75" hidden="1" customHeight="1" x14ac:dyDescent="0.3">
      <c r="C27" s="43">
        <v>120</v>
      </c>
      <c r="D27" s="42" t="s">
        <v>435</v>
      </c>
      <c r="E27" s="42" t="s">
        <v>436</v>
      </c>
      <c r="F27" s="42" t="s">
        <v>437</v>
      </c>
      <c r="G27" s="42" t="s">
        <v>438</v>
      </c>
      <c r="H27" s="49">
        <v>40118</v>
      </c>
      <c r="I27" s="42" t="s">
        <v>439</v>
      </c>
      <c r="J27" s="43">
        <v>8000</v>
      </c>
      <c r="K27" s="43">
        <v>0</v>
      </c>
      <c r="L27" s="43">
        <v>100</v>
      </c>
      <c r="M27" s="43">
        <v>50</v>
      </c>
    </row>
    <row r="28" spans="3:13" ht="15.75" hidden="1" customHeight="1" x14ac:dyDescent="0.3">
      <c r="C28" s="43">
        <v>121</v>
      </c>
      <c r="D28" s="42" t="s">
        <v>440</v>
      </c>
      <c r="E28" s="42" t="s">
        <v>441</v>
      </c>
      <c r="F28" s="42" t="s">
        <v>442</v>
      </c>
      <c r="G28" s="42" t="s">
        <v>443</v>
      </c>
      <c r="H28" s="49">
        <v>39556</v>
      </c>
      <c r="I28" s="42" t="s">
        <v>439</v>
      </c>
      <c r="J28" s="43">
        <v>8200</v>
      </c>
      <c r="K28" s="43">
        <v>0</v>
      </c>
      <c r="L28" s="43">
        <v>100</v>
      </c>
      <c r="M28" s="43">
        <v>50</v>
      </c>
    </row>
    <row r="29" spans="3:13" ht="15.75" hidden="1" customHeight="1" x14ac:dyDescent="0.3">
      <c r="C29" s="43">
        <v>122</v>
      </c>
      <c r="D29" s="42" t="s">
        <v>444</v>
      </c>
      <c r="E29" s="42" t="s">
        <v>445</v>
      </c>
      <c r="F29" s="42" t="s">
        <v>446</v>
      </c>
      <c r="G29" s="42" t="s">
        <v>447</v>
      </c>
      <c r="H29" s="49">
        <v>39374</v>
      </c>
      <c r="I29" s="42" t="s">
        <v>439</v>
      </c>
      <c r="J29" s="43">
        <v>7900</v>
      </c>
      <c r="K29" s="43">
        <v>0</v>
      </c>
      <c r="L29" s="43">
        <v>100</v>
      </c>
      <c r="M29" s="43">
        <v>50</v>
      </c>
    </row>
    <row r="30" spans="3:13" ht="15.75" hidden="1" customHeight="1" x14ac:dyDescent="0.3">
      <c r="C30" s="43">
        <v>123</v>
      </c>
      <c r="D30" s="42" t="s">
        <v>448</v>
      </c>
      <c r="E30" s="42" t="s">
        <v>449</v>
      </c>
      <c r="F30" s="42" t="s">
        <v>450</v>
      </c>
      <c r="G30" s="42" t="s">
        <v>451</v>
      </c>
      <c r="H30" s="49">
        <v>37904</v>
      </c>
      <c r="I30" s="42" t="s">
        <v>439</v>
      </c>
      <c r="J30" s="43">
        <v>6500</v>
      </c>
      <c r="K30" s="43">
        <v>0</v>
      </c>
      <c r="L30" s="43">
        <v>100</v>
      </c>
      <c r="M30" s="43">
        <v>50</v>
      </c>
    </row>
    <row r="31" spans="3:13" ht="15.75" hidden="1" customHeight="1" x14ac:dyDescent="0.3">
      <c r="C31" s="43">
        <v>124</v>
      </c>
      <c r="D31" s="42" t="s">
        <v>452</v>
      </c>
      <c r="E31" s="42" t="s">
        <v>453</v>
      </c>
      <c r="F31" s="42" t="s">
        <v>454</v>
      </c>
      <c r="G31" s="42" t="s">
        <v>455</v>
      </c>
      <c r="H31" s="49">
        <v>40097</v>
      </c>
      <c r="I31" s="42" t="s">
        <v>439</v>
      </c>
      <c r="J31" s="43">
        <v>5800</v>
      </c>
      <c r="K31" s="43">
        <v>0</v>
      </c>
      <c r="L31" s="43">
        <v>100</v>
      </c>
      <c r="M31" s="43">
        <v>50</v>
      </c>
    </row>
    <row r="32" spans="3:13" ht="15.75" hidden="1" customHeight="1" x14ac:dyDescent="0.3">
      <c r="C32" s="43">
        <v>125</v>
      </c>
      <c r="D32" s="42" t="s">
        <v>456</v>
      </c>
      <c r="E32" s="42" t="s">
        <v>457</v>
      </c>
      <c r="F32" s="42" t="s">
        <v>458</v>
      </c>
      <c r="G32" s="42" t="s">
        <v>459</v>
      </c>
      <c r="H32" s="49">
        <v>39590</v>
      </c>
      <c r="I32" s="42" t="s">
        <v>460</v>
      </c>
      <c r="J32" s="43">
        <v>3200</v>
      </c>
      <c r="K32" s="43">
        <v>0</v>
      </c>
      <c r="L32" s="43">
        <v>114</v>
      </c>
      <c r="M32" s="43">
        <v>50</v>
      </c>
    </row>
    <row r="33" spans="3:13" ht="15.75" hidden="1" customHeight="1" x14ac:dyDescent="0.3">
      <c r="C33" s="43">
        <v>126</v>
      </c>
      <c r="D33" s="42" t="s">
        <v>461</v>
      </c>
      <c r="E33" s="42" t="s">
        <v>462</v>
      </c>
      <c r="F33" s="42" t="s">
        <v>463</v>
      </c>
      <c r="G33" s="42" t="s">
        <v>464</v>
      </c>
      <c r="H33" s="49">
        <v>38365</v>
      </c>
      <c r="I33" s="42" t="s">
        <v>460</v>
      </c>
      <c r="J33" s="43">
        <v>2700</v>
      </c>
      <c r="K33" s="43">
        <v>0</v>
      </c>
      <c r="L33" s="43">
        <v>114</v>
      </c>
      <c r="M33" s="43">
        <v>50</v>
      </c>
    </row>
    <row r="34" spans="3:13" ht="15.75" hidden="1" customHeight="1" x14ac:dyDescent="0.3">
      <c r="C34" s="43">
        <v>127</v>
      </c>
      <c r="D34" s="42" t="s">
        <v>465</v>
      </c>
      <c r="E34" s="42" t="s">
        <v>466</v>
      </c>
      <c r="F34" s="42" t="s">
        <v>467</v>
      </c>
      <c r="G34" s="42" t="s">
        <v>468</v>
      </c>
      <c r="H34" s="49">
        <v>37755</v>
      </c>
      <c r="I34" s="42" t="s">
        <v>460</v>
      </c>
      <c r="J34" s="43">
        <v>2400</v>
      </c>
      <c r="K34" s="43">
        <v>0</v>
      </c>
      <c r="L34" s="43">
        <v>114</v>
      </c>
      <c r="M34" s="43">
        <v>50</v>
      </c>
    </row>
    <row r="35" spans="3:13" ht="15.75" hidden="1" customHeight="1" x14ac:dyDescent="0.3">
      <c r="C35" s="43">
        <v>128</v>
      </c>
      <c r="D35" s="42" t="s">
        <v>349</v>
      </c>
      <c r="E35" s="42" t="s">
        <v>469</v>
      </c>
      <c r="F35" s="42" t="s">
        <v>470</v>
      </c>
      <c r="G35" s="42" t="s">
        <v>471</v>
      </c>
      <c r="H35" s="49">
        <v>37919</v>
      </c>
      <c r="I35" s="42" t="s">
        <v>460</v>
      </c>
      <c r="J35" s="43">
        <v>2200</v>
      </c>
      <c r="K35" s="43">
        <v>0</v>
      </c>
      <c r="L35" s="43">
        <v>114</v>
      </c>
      <c r="M35" s="43">
        <v>50</v>
      </c>
    </row>
    <row r="36" spans="3:13" ht="15.75" hidden="1" customHeight="1" x14ac:dyDescent="0.3">
      <c r="C36" s="43">
        <v>129</v>
      </c>
      <c r="D36" s="42" t="s">
        <v>472</v>
      </c>
      <c r="E36" s="42" t="s">
        <v>473</v>
      </c>
      <c r="F36" s="42" t="s">
        <v>474</v>
      </c>
      <c r="G36" s="42" t="s">
        <v>475</v>
      </c>
      <c r="H36" s="49">
        <v>38427</v>
      </c>
      <c r="I36" s="42" t="s">
        <v>460</v>
      </c>
      <c r="J36" s="43">
        <v>3300</v>
      </c>
      <c r="K36" s="43">
        <v>0</v>
      </c>
      <c r="L36" s="43">
        <v>114</v>
      </c>
      <c r="M36" s="43">
        <v>50</v>
      </c>
    </row>
    <row r="37" spans="3:13" ht="15.75" hidden="1" customHeight="1" x14ac:dyDescent="0.3">
      <c r="C37" s="43">
        <v>130</v>
      </c>
      <c r="D37" s="42" t="s">
        <v>476</v>
      </c>
      <c r="E37" s="42" t="s">
        <v>477</v>
      </c>
      <c r="F37" s="42" t="s">
        <v>478</v>
      </c>
      <c r="G37" s="42" t="s">
        <v>479</v>
      </c>
      <c r="H37" s="49">
        <v>37728</v>
      </c>
      <c r="I37" s="42" t="s">
        <v>460</v>
      </c>
      <c r="J37" s="43">
        <v>2800</v>
      </c>
      <c r="K37" s="43">
        <v>0</v>
      </c>
      <c r="L37" s="43">
        <v>100</v>
      </c>
      <c r="M37" s="43">
        <v>50</v>
      </c>
    </row>
    <row r="38" spans="3:13" ht="15.75" hidden="1" customHeight="1" x14ac:dyDescent="0.3">
      <c r="C38" s="43">
        <v>131</v>
      </c>
      <c r="D38" s="42" t="s">
        <v>465</v>
      </c>
      <c r="E38" s="42" t="s">
        <v>480</v>
      </c>
      <c r="F38" s="42" t="s">
        <v>481</v>
      </c>
      <c r="G38" s="42" t="s">
        <v>482</v>
      </c>
      <c r="H38" s="49">
        <v>37922</v>
      </c>
      <c r="I38" s="42" t="s">
        <v>460</v>
      </c>
      <c r="J38" s="43">
        <v>2500</v>
      </c>
      <c r="K38" s="43">
        <v>0</v>
      </c>
      <c r="L38" s="43">
        <v>100</v>
      </c>
      <c r="M38" s="43">
        <v>50</v>
      </c>
    </row>
    <row r="39" spans="3:13" ht="15.75" hidden="1" customHeight="1" x14ac:dyDescent="0.3">
      <c r="C39" s="43">
        <v>132</v>
      </c>
      <c r="D39" s="42" t="s">
        <v>483</v>
      </c>
      <c r="E39" s="42" t="s">
        <v>484</v>
      </c>
      <c r="F39" s="42" t="s">
        <v>485</v>
      </c>
      <c r="G39" s="42" t="s">
        <v>486</v>
      </c>
      <c r="H39" s="49">
        <v>38522</v>
      </c>
      <c r="I39" s="42" t="s">
        <v>460</v>
      </c>
      <c r="J39" s="43">
        <v>2100</v>
      </c>
      <c r="K39" s="43">
        <v>0</v>
      </c>
      <c r="L39" s="43">
        <v>100</v>
      </c>
      <c r="M39" s="43">
        <v>50</v>
      </c>
    </row>
    <row r="40" spans="3:13" ht="15.75" hidden="1" customHeight="1" x14ac:dyDescent="0.3">
      <c r="C40" s="43">
        <v>133</v>
      </c>
      <c r="D40" s="42" t="s">
        <v>487</v>
      </c>
      <c r="E40" s="42" t="s">
        <v>488</v>
      </c>
      <c r="F40" s="42" t="s">
        <v>489</v>
      </c>
      <c r="G40" s="42" t="s">
        <v>490</v>
      </c>
      <c r="H40" s="49">
        <v>38403</v>
      </c>
      <c r="I40" s="42" t="s">
        <v>460</v>
      </c>
      <c r="J40" s="43">
        <v>3300</v>
      </c>
      <c r="K40" s="43">
        <v>0</v>
      </c>
      <c r="L40" s="43">
        <v>100</v>
      </c>
      <c r="M40" s="43">
        <v>50</v>
      </c>
    </row>
    <row r="41" spans="3:13" ht="15.75" hidden="1" customHeight="1" x14ac:dyDescent="0.3">
      <c r="C41" s="43">
        <v>134</v>
      </c>
      <c r="D41" s="42" t="s">
        <v>491</v>
      </c>
      <c r="E41" s="42" t="s">
        <v>492</v>
      </c>
      <c r="F41" s="42" t="s">
        <v>493</v>
      </c>
      <c r="G41" s="42" t="s">
        <v>494</v>
      </c>
      <c r="H41" s="49">
        <v>37644</v>
      </c>
      <c r="I41" s="42" t="s">
        <v>460</v>
      </c>
      <c r="J41" s="43">
        <v>2900</v>
      </c>
      <c r="K41" s="43">
        <v>0</v>
      </c>
      <c r="L41" s="43">
        <v>100</v>
      </c>
      <c r="M41" s="43">
        <v>50</v>
      </c>
    </row>
    <row r="42" spans="3:13" ht="15.75" hidden="1" customHeight="1" x14ac:dyDescent="0.3">
      <c r="C42" s="43">
        <v>135</v>
      </c>
      <c r="D42" s="42" t="s">
        <v>495</v>
      </c>
      <c r="E42" s="42" t="s">
        <v>496</v>
      </c>
      <c r="F42" s="42" t="s">
        <v>497</v>
      </c>
      <c r="G42" s="42" t="s">
        <v>498</v>
      </c>
      <c r="H42" s="49">
        <v>37906</v>
      </c>
      <c r="I42" s="42" t="s">
        <v>460</v>
      </c>
      <c r="J42" s="43">
        <v>2400</v>
      </c>
      <c r="K42" s="43">
        <v>0</v>
      </c>
      <c r="L42" s="43">
        <v>120</v>
      </c>
      <c r="M42" s="43">
        <v>50</v>
      </c>
    </row>
    <row r="43" spans="3:13" ht="15.75" hidden="1" customHeight="1" x14ac:dyDescent="0.3">
      <c r="C43" s="43">
        <v>136</v>
      </c>
      <c r="D43" s="42" t="s">
        <v>499</v>
      </c>
      <c r="E43" s="42" t="s">
        <v>500</v>
      </c>
      <c r="F43" s="42" t="s">
        <v>501</v>
      </c>
      <c r="G43" s="42" t="s">
        <v>502</v>
      </c>
      <c r="H43" s="49">
        <v>38181</v>
      </c>
      <c r="I43" s="42" t="s">
        <v>460</v>
      </c>
      <c r="J43" s="43">
        <v>2200</v>
      </c>
      <c r="K43" s="43">
        <v>0</v>
      </c>
      <c r="L43" s="43">
        <v>120</v>
      </c>
      <c r="M43" s="43">
        <v>50</v>
      </c>
    </row>
    <row r="44" spans="3:13" ht="15.75" hidden="1" customHeight="1" x14ac:dyDescent="0.3">
      <c r="C44" s="43">
        <v>137</v>
      </c>
      <c r="D44" s="42" t="s">
        <v>503</v>
      </c>
      <c r="E44" s="42" t="s">
        <v>504</v>
      </c>
      <c r="F44" s="42" t="s">
        <v>505</v>
      </c>
      <c r="G44" s="42" t="s">
        <v>506</v>
      </c>
      <c r="H44" s="49">
        <v>37949</v>
      </c>
      <c r="I44" s="42" t="s">
        <v>460</v>
      </c>
      <c r="J44" s="43">
        <v>3600</v>
      </c>
      <c r="K44" s="43">
        <v>0</v>
      </c>
      <c r="L44" s="43">
        <v>120</v>
      </c>
      <c r="M44" s="43">
        <v>50</v>
      </c>
    </row>
    <row r="45" spans="3:13" ht="15.75" hidden="1" customHeight="1" x14ac:dyDescent="0.3">
      <c r="C45" s="43">
        <v>138</v>
      </c>
      <c r="D45" s="42" t="s">
        <v>507</v>
      </c>
      <c r="E45" s="42" t="s">
        <v>508</v>
      </c>
      <c r="F45" s="42" t="s">
        <v>509</v>
      </c>
      <c r="G45" s="42" t="s">
        <v>510</v>
      </c>
      <c r="H45" s="49">
        <v>37909</v>
      </c>
      <c r="I45" s="42" t="s">
        <v>460</v>
      </c>
      <c r="J45" s="43">
        <v>3200</v>
      </c>
      <c r="K45" s="43">
        <v>0</v>
      </c>
      <c r="L45" s="43">
        <v>120</v>
      </c>
      <c r="M45" s="43">
        <v>50</v>
      </c>
    </row>
    <row r="46" spans="3:13" ht="15.75" hidden="1" customHeight="1" x14ac:dyDescent="0.3">
      <c r="C46" s="43">
        <v>139</v>
      </c>
      <c r="D46" s="42" t="s">
        <v>394</v>
      </c>
      <c r="E46" s="42" t="s">
        <v>511</v>
      </c>
      <c r="F46" s="42" t="s">
        <v>512</v>
      </c>
      <c r="G46" s="42" t="s">
        <v>513</v>
      </c>
      <c r="H46" s="49">
        <v>39381</v>
      </c>
      <c r="I46" s="42" t="s">
        <v>460</v>
      </c>
      <c r="J46" s="43">
        <v>2700</v>
      </c>
      <c r="K46" s="43">
        <v>0</v>
      </c>
      <c r="L46" s="43">
        <v>121</v>
      </c>
      <c r="M46" s="43">
        <v>50</v>
      </c>
    </row>
    <row r="47" spans="3:13" ht="15.75" hidden="1" customHeight="1" x14ac:dyDescent="0.3">
      <c r="C47" s="43">
        <v>140</v>
      </c>
      <c r="D47" s="42" t="s">
        <v>514</v>
      </c>
      <c r="E47" s="42" t="s">
        <v>515</v>
      </c>
      <c r="F47" s="42" t="s">
        <v>516</v>
      </c>
      <c r="G47" s="42" t="s">
        <v>517</v>
      </c>
      <c r="H47" s="49">
        <v>37738</v>
      </c>
      <c r="I47" s="42" t="s">
        <v>460</v>
      </c>
      <c r="J47" s="43">
        <v>2500</v>
      </c>
      <c r="K47" s="43">
        <v>0</v>
      </c>
      <c r="L47" s="43">
        <v>121</v>
      </c>
      <c r="M47" s="43">
        <v>50</v>
      </c>
    </row>
    <row r="48" spans="3:13" ht="15.75" hidden="1" customHeight="1" x14ac:dyDescent="0.3">
      <c r="C48" s="43">
        <v>141</v>
      </c>
      <c r="D48" s="42" t="s">
        <v>518</v>
      </c>
      <c r="E48" s="42" t="s">
        <v>519</v>
      </c>
      <c r="F48" s="42" t="s">
        <v>520</v>
      </c>
      <c r="G48" s="42" t="s">
        <v>521</v>
      </c>
      <c r="H48" s="49">
        <v>37902</v>
      </c>
      <c r="I48" s="42" t="s">
        <v>460</v>
      </c>
      <c r="J48" s="43">
        <v>3500</v>
      </c>
      <c r="K48" s="43">
        <v>0</v>
      </c>
      <c r="L48" s="43">
        <v>121</v>
      </c>
      <c r="M48" s="43">
        <v>50</v>
      </c>
    </row>
    <row r="49" spans="3:13" ht="15.75" hidden="1" customHeight="1" x14ac:dyDescent="0.3">
      <c r="C49" s="43">
        <v>142</v>
      </c>
      <c r="D49" s="42" t="s">
        <v>522</v>
      </c>
      <c r="E49" s="42" t="s">
        <v>523</v>
      </c>
      <c r="F49" s="42" t="s">
        <v>524</v>
      </c>
      <c r="G49" s="42" t="s">
        <v>525</v>
      </c>
      <c r="H49" s="49">
        <v>38593</v>
      </c>
      <c r="I49" s="42" t="s">
        <v>460</v>
      </c>
      <c r="J49" s="43">
        <v>3100</v>
      </c>
      <c r="K49" s="43">
        <v>0</v>
      </c>
      <c r="L49" s="43">
        <v>121</v>
      </c>
      <c r="M49" s="43">
        <v>50</v>
      </c>
    </row>
    <row r="50" spans="3:13" ht="15.75" hidden="1" customHeight="1" x14ac:dyDescent="0.3">
      <c r="C50" s="43">
        <v>143</v>
      </c>
      <c r="D50" s="42" t="s">
        <v>526</v>
      </c>
      <c r="E50" s="42" t="s">
        <v>527</v>
      </c>
      <c r="F50" s="42" t="s">
        <v>528</v>
      </c>
      <c r="G50" s="42" t="s">
        <v>490</v>
      </c>
      <c r="H50" s="49">
        <v>37906</v>
      </c>
      <c r="I50" s="42" t="s">
        <v>460</v>
      </c>
      <c r="J50" s="43">
        <v>2600</v>
      </c>
      <c r="K50" s="43">
        <v>0</v>
      </c>
      <c r="L50" s="43">
        <v>122</v>
      </c>
      <c r="M50" s="43">
        <v>50</v>
      </c>
    </row>
    <row r="51" spans="3:13" ht="15.75" hidden="1" customHeight="1" x14ac:dyDescent="0.3">
      <c r="C51" s="43">
        <v>144</v>
      </c>
      <c r="D51" s="42" t="s">
        <v>529</v>
      </c>
      <c r="E51" s="42" t="s">
        <v>530</v>
      </c>
      <c r="F51" s="42" t="s">
        <v>531</v>
      </c>
      <c r="G51" s="42" t="s">
        <v>532</v>
      </c>
      <c r="H51" s="49">
        <v>37632</v>
      </c>
      <c r="I51" s="42" t="s">
        <v>460</v>
      </c>
      <c r="J51" s="43">
        <v>2500</v>
      </c>
      <c r="K51" s="43">
        <v>0</v>
      </c>
      <c r="L51" s="43">
        <v>122</v>
      </c>
      <c r="M51" s="43">
        <v>80</v>
      </c>
    </row>
    <row r="52" spans="3:13" ht="15.75" hidden="1" customHeight="1" x14ac:dyDescent="0.3">
      <c r="C52" s="43">
        <v>145</v>
      </c>
      <c r="D52" s="42" t="s">
        <v>394</v>
      </c>
      <c r="E52" s="42" t="s">
        <v>533</v>
      </c>
      <c r="F52" s="42" t="s">
        <v>534</v>
      </c>
      <c r="G52" s="42" t="s">
        <v>535</v>
      </c>
      <c r="H52" s="49">
        <v>39761</v>
      </c>
      <c r="I52" s="42" t="s">
        <v>536</v>
      </c>
      <c r="J52" s="43">
        <v>14000</v>
      </c>
      <c r="K52" s="43">
        <v>0.4</v>
      </c>
      <c r="L52" s="43">
        <v>122</v>
      </c>
      <c r="M52" s="43">
        <v>80</v>
      </c>
    </row>
    <row r="53" spans="3:13" ht="15.75" hidden="1" customHeight="1" x14ac:dyDescent="0.3">
      <c r="C53" s="43">
        <v>146</v>
      </c>
      <c r="D53" s="42" t="s">
        <v>431</v>
      </c>
      <c r="E53" s="42" t="s">
        <v>537</v>
      </c>
      <c r="F53" s="42" t="s">
        <v>538</v>
      </c>
      <c r="G53" s="42" t="s">
        <v>539</v>
      </c>
      <c r="H53" s="49">
        <v>38663</v>
      </c>
      <c r="I53" s="42" t="s">
        <v>536</v>
      </c>
      <c r="J53" s="43">
        <v>13500</v>
      </c>
      <c r="K53" s="43">
        <v>0.3</v>
      </c>
      <c r="L53" s="43">
        <v>122</v>
      </c>
      <c r="M53" s="43">
        <v>80</v>
      </c>
    </row>
    <row r="54" spans="3:13" ht="15.75" hidden="1" customHeight="1" x14ac:dyDescent="0.3">
      <c r="C54" s="43">
        <v>147</v>
      </c>
      <c r="D54" s="42" t="s">
        <v>540</v>
      </c>
      <c r="E54" s="42" t="s">
        <v>541</v>
      </c>
      <c r="F54" s="42" t="s">
        <v>542</v>
      </c>
      <c r="G54" s="42" t="s">
        <v>543</v>
      </c>
      <c r="H54" s="49">
        <v>37928</v>
      </c>
      <c r="I54" s="42" t="s">
        <v>536</v>
      </c>
      <c r="J54" s="43">
        <v>12000</v>
      </c>
      <c r="K54" s="43">
        <v>0.3</v>
      </c>
      <c r="L54" s="43">
        <v>123</v>
      </c>
      <c r="M54" s="43">
        <v>80</v>
      </c>
    </row>
    <row r="55" spans="3:13" ht="15.75" hidden="1" customHeight="1" x14ac:dyDescent="0.3">
      <c r="C55" s="43">
        <v>148</v>
      </c>
      <c r="D55" s="42" t="s">
        <v>544</v>
      </c>
      <c r="E55" s="42" t="s">
        <v>545</v>
      </c>
      <c r="F55" s="42" t="s">
        <v>546</v>
      </c>
      <c r="G55" s="42" t="s">
        <v>547</v>
      </c>
      <c r="H55" s="49">
        <v>37929</v>
      </c>
      <c r="I55" s="42" t="s">
        <v>536</v>
      </c>
      <c r="J55" s="43">
        <v>11000</v>
      </c>
      <c r="K55" s="43">
        <v>0.3</v>
      </c>
      <c r="L55" s="43">
        <v>123</v>
      </c>
      <c r="M55" s="43">
        <v>80</v>
      </c>
    </row>
    <row r="56" spans="3:13" ht="15.75" hidden="1" customHeight="1" x14ac:dyDescent="0.3">
      <c r="C56" s="43">
        <v>149</v>
      </c>
      <c r="D56" s="42" t="s">
        <v>548</v>
      </c>
      <c r="E56" s="42" t="s">
        <v>549</v>
      </c>
      <c r="F56" s="42" t="s">
        <v>550</v>
      </c>
      <c r="G56" s="42" t="s">
        <v>551</v>
      </c>
      <c r="H56" s="49">
        <v>37636</v>
      </c>
      <c r="I56" s="42" t="s">
        <v>536</v>
      </c>
      <c r="J56" s="43">
        <v>10500</v>
      </c>
      <c r="K56" s="43">
        <v>0.3</v>
      </c>
      <c r="L56" s="43">
        <v>123</v>
      </c>
      <c r="M56" s="43">
        <v>80</v>
      </c>
    </row>
    <row r="57" spans="3:13" ht="15.75" hidden="1" customHeight="1" x14ac:dyDescent="0.3">
      <c r="C57" s="43">
        <v>150</v>
      </c>
      <c r="D57" s="42" t="s">
        <v>529</v>
      </c>
      <c r="E57" s="42" t="s">
        <v>552</v>
      </c>
      <c r="F57" s="42" t="s">
        <v>553</v>
      </c>
      <c r="G57" s="42" t="s">
        <v>554</v>
      </c>
      <c r="H57" s="49">
        <v>39758</v>
      </c>
      <c r="I57" s="42" t="s">
        <v>555</v>
      </c>
      <c r="J57" s="43">
        <v>10000</v>
      </c>
      <c r="K57" s="43">
        <v>0.3</v>
      </c>
      <c r="L57" s="43">
        <v>123</v>
      </c>
      <c r="M57" s="43">
        <v>80</v>
      </c>
    </row>
    <row r="58" spans="3:13" ht="15.75" hidden="1" customHeight="1" x14ac:dyDescent="0.3">
      <c r="C58" s="43">
        <v>151</v>
      </c>
      <c r="D58" s="42" t="s">
        <v>372</v>
      </c>
      <c r="E58" s="42" t="s">
        <v>556</v>
      </c>
      <c r="F58" s="42" t="s">
        <v>557</v>
      </c>
      <c r="G58" s="42" t="s">
        <v>558</v>
      </c>
      <c r="H58" s="49">
        <v>38673</v>
      </c>
      <c r="I58" s="42" t="s">
        <v>555</v>
      </c>
      <c r="J58" s="43">
        <v>9500</v>
      </c>
      <c r="K58" s="43">
        <v>0.3</v>
      </c>
      <c r="L58" s="43">
        <v>100</v>
      </c>
      <c r="M58" s="43">
        <v>80</v>
      </c>
    </row>
    <row r="59" spans="3:13" ht="15.75" hidden="1" customHeight="1" x14ac:dyDescent="0.3">
      <c r="C59" s="43">
        <v>152</v>
      </c>
      <c r="D59" s="42" t="s">
        <v>529</v>
      </c>
      <c r="E59" s="42" t="s">
        <v>559</v>
      </c>
      <c r="F59" s="42" t="s">
        <v>560</v>
      </c>
      <c r="G59" s="42" t="s">
        <v>561</v>
      </c>
      <c r="H59" s="49">
        <v>38815</v>
      </c>
      <c r="I59" s="42" t="s">
        <v>555</v>
      </c>
      <c r="J59" s="43">
        <v>9000</v>
      </c>
      <c r="K59" s="43">
        <v>0.2</v>
      </c>
      <c r="L59" s="43">
        <v>100</v>
      </c>
      <c r="M59" s="43">
        <v>80</v>
      </c>
    </row>
    <row r="60" spans="3:13" ht="15.75" hidden="1" customHeight="1" x14ac:dyDescent="0.3">
      <c r="C60" s="43">
        <v>153</v>
      </c>
      <c r="D60" s="42" t="s">
        <v>562</v>
      </c>
      <c r="E60" s="42" t="s">
        <v>563</v>
      </c>
      <c r="F60" s="42" t="s">
        <v>564</v>
      </c>
      <c r="G60" s="42" t="s">
        <v>565</v>
      </c>
      <c r="H60" s="49">
        <v>39761</v>
      </c>
      <c r="I60" s="42" t="s">
        <v>555</v>
      </c>
      <c r="J60" s="43">
        <v>8000</v>
      </c>
      <c r="K60" s="43">
        <v>0.25</v>
      </c>
      <c r="L60" s="43">
        <v>100</v>
      </c>
      <c r="M60" s="43">
        <v>80</v>
      </c>
    </row>
    <row r="61" spans="3:13" ht="15.75" hidden="1" customHeight="1" x14ac:dyDescent="0.3">
      <c r="C61" s="43">
        <v>154</v>
      </c>
      <c r="D61" s="42" t="s">
        <v>566</v>
      </c>
      <c r="E61" s="42" t="s">
        <v>545</v>
      </c>
      <c r="F61" s="42" t="s">
        <v>567</v>
      </c>
      <c r="G61" s="42" t="s">
        <v>568</v>
      </c>
      <c r="H61" s="49">
        <v>37622</v>
      </c>
      <c r="I61" s="42" t="s">
        <v>555</v>
      </c>
      <c r="J61" s="43">
        <v>7500</v>
      </c>
      <c r="K61" s="43">
        <v>0.2</v>
      </c>
      <c r="L61" s="43">
        <v>100</v>
      </c>
      <c r="M61" s="43">
        <v>80</v>
      </c>
    </row>
    <row r="62" spans="3:13" ht="15.75" hidden="1" customHeight="1" x14ac:dyDescent="0.3">
      <c r="C62" s="43">
        <v>155</v>
      </c>
      <c r="D62" s="42" t="s">
        <v>569</v>
      </c>
      <c r="E62" s="42" t="s">
        <v>570</v>
      </c>
      <c r="F62" s="42" t="s">
        <v>571</v>
      </c>
      <c r="G62" s="42" t="s">
        <v>572</v>
      </c>
      <c r="H62" s="49">
        <v>39753</v>
      </c>
      <c r="I62" s="42" t="s">
        <v>555</v>
      </c>
      <c r="J62" s="43">
        <v>7000</v>
      </c>
      <c r="K62" s="43">
        <v>0.2</v>
      </c>
      <c r="L62" s="43">
        <v>100</v>
      </c>
      <c r="M62" s="43">
        <v>80</v>
      </c>
    </row>
    <row r="63" spans="3:13" ht="15.75" hidden="1" customHeight="1" x14ac:dyDescent="0.3">
      <c r="C63" s="43">
        <v>156</v>
      </c>
      <c r="D63" s="42" t="s">
        <v>573</v>
      </c>
      <c r="E63" s="42" t="s">
        <v>350</v>
      </c>
      <c r="F63" s="42" t="s">
        <v>574</v>
      </c>
      <c r="G63" s="42" t="s">
        <v>575</v>
      </c>
      <c r="H63" s="49">
        <v>37896</v>
      </c>
      <c r="I63" s="42" t="s">
        <v>555</v>
      </c>
      <c r="J63" s="43">
        <v>10500</v>
      </c>
      <c r="K63" s="43">
        <v>0.2</v>
      </c>
      <c r="L63" s="43">
        <v>145</v>
      </c>
      <c r="M63" s="43">
        <v>80</v>
      </c>
    </row>
    <row r="64" spans="3:13" ht="15.75" hidden="1" customHeight="1" x14ac:dyDescent="0.3">
      <c r="C64" s="43">
        <v>157</v>
      </c>
      <c r="D64" s="42" t="s">
        <v>576</v>
      </c>
      <c r="E64" s="42" t="s">
        <v>577</v>
      </c>
      <c r="F64" s="42" t="s">
        <v>578</v>
      </c>
      <c r="G64" s="42" t="s">
        <v>579</v>
      </c>
      <c r="H64" s="49">
        <v>38963</v>
      </c>
      <c r="I64" s="42" t="s">
        <v>555</v>
      </c>
      <c r="J64" s="43">
        <v>9500</v>
      </c>
      <c r="K64" s="43">
        <v>0.1</v>
      </c>
      <c r="L64" s="43">
        <v>145</v>
      </c>
      <c r="M64" s="43">
        <v>80</v>
      </c>
    </row>
    <row r="65" spans="3:13" ht="15.75" hidden="1" customHeight="1" x14ac:dyDescent="0.3">
      <c r="C65" s="43">
        <v>158</v>
      </c>
      <c r="D65" s="42" t="s">
        <v>580</v>
      </c>
      <c r="E65" s="42" t="s">
        <v>581</v>
      </c>
      <c r="F65" s="42" t="s">
        <v>582</v>
      </c>
      <c r="G65" s="42" t="s">
        <v>583</v>
      </c>
      <c r="H65" s="49">
        <v>37650</v>
      </c>
      <c r="I65" s="42" t="s">
        <v>555</v>
      </c>
      <c r="J65" s="43">
        <v>7200</v>
      </c>
      <c r="K65" s="43">
        <v>0.15</v>
      </c>
      <c r="L65" s="43">
        <v>145</v>
      </c>
      <c r="M65" s="43">
        <v>80</v>
      </c>
    </row>
    <row r="66" spans="3:13" ht="15.75" hidden="1" customHeight="1" x14ac:dyDescent="0.3">
      <c r="C66" s="43">
        <v>159</v>
      </c>
      <c r="D66" s="42" t="s">
        <v>584</v>
      </c>
      <c r="E66" s="42" t="s">
        <v>585</v>
      </c>
      <c r="F66" s="42" t="s">
        <v>586</v>
      </c>
      <c r="G66" s="42" t="s">
        <v>587</v>
      </c>
      <c r="H66" s="49">
        <v>39753</v>
      </c>
      <c r="I66" s="42" t="s">
        <v>555</v>
      </c>
      <c r="J66" s="43">
        <v>6800</v>
      </c>
      <c r="K66" s="43">
        <v>0.1</v>
      </c>
      <c r="L66" s="43">
        <v>145</v>
      </c>
      <c r="M66" s="43">
        <v>80</v>
      </c>
    </row>
    <row r="67" spans="3:13" ht="15.75" hidden="1" customHeight="1" x14ac:dyDescent="0.3">
      <c r="C67" s="43">
        <v>160</v>
      </c>
      <c r="D67" s="42" t="s">
        <v>588</v>
      </c>
      <c r="E67" s="42" t="s">
        <v>589</v>
      </c>
      <c r="F67" s="42" t="s">
        <v>590</v>
      </c>
      <c r="G67" s="42" t="s">
        <v>591</v>
      </c>
      <c r="H67" s="49">
        <v>38266</v>
      </c>
      <c r="I67" s="42" t="s">
        <v>555</v>
      </c>
      <c r="J67" s="43">
        <v>6400</v>
      </c>
      <c r="K67" s="43">
        <v>0.1</v>
      </c>
      <c r="L67" s="43">
        <v>145</v>
      </c>
      <c r="M67" s="43">
        <v>80</v>
      </c>
    </row>
    <row r="68" spans="3:13" ht="15.75" hidden="1" customHeight="1" x14ac:dyDescent="0.3">
      <c r="C68" s="43">
        <v>161</v>
      </c>
      <c r="D68" s="42" t="s">
        <v>592</v>
      </c>
      <c r="E68" s="42" t="s">
        <v>593</v>
      </c>
      <c r="F68" s="42" t="s">
        <v>594</v>
      </c>
      <c r="G68" s="42" t="s">
        <v>595</v>
      </c>
      <c r="H68" s="49">
        <v>37648</v>
      </c>
      <c r="I68" s="42" t="s">
        <v>555</v>
      </c>
      <c r="J68" s="43">
        <v>6200</v>
      </c>
      <c r="K68" s="43">
        <v>0.4</v>
      </c>
      <c r="L68" s="43">
        <v>145</v>
      </c>
      <c r="M68" s="43">
        <v>80</v>
      </c>
    </row>
    <row r="69" spans="3:13" ht="15.75" hidden="1" customHeight="1" x14ac:dyDescent="0.3">
      <c r="C69" s="43">
        <v>162</v>
      </c>
      <c r="D69" s="42" t="s">
        <v>596</v>
      </c>
      <c r="E69" s="42" t="s">
        <v>589</v>
      </c>
      <c r="F69" s="42" t="s">
        <v>597</v>
      </c>
      <c r="G69" s="42" t="s">
        <v>598</v>
      </c>
      <c r="H69" s="49">
        <v>38514</v>
      </c>
      <c r="I69" s="42" t="s">
        <v>555</v>
      </c>
      <c r="J69" s="43">
        <v>11500</v>
      </c>
      <c r="K69" s="43">
        <v>0</v>
      </c>
      <c r="L69" s="43">
        <v>145</v>
      </c>
      <c r="M69" s="43">
        <v>80</v>
      </c>
    </row>
    <row r="70" spans="3:13" ht="15.75" hidden="1" customHeight="1" x14ac:dyDescent="0.3">
      <c r="C70" s="43">
        <v>163</v>
      </c>
      <c r="D70" s="42" t="s">
        <v>389</v>
      </c>
      <c r="E70" s="42" t="s">
        <v>599</v>
      </c>
      <c r="F70" s="42" t="s">
        <v>600</v>
      </c>
      <c r="G70" s="42" t="s">
        <v>601</v>
      </c>
      <c r="H70" s="49">
        <v>39587</v>
      </c>
      <c r="I70" s="42" t="s">
        <v>555</v>
      </c>
      <c r="J70" s="43">
        <v>10000</v>
      </c>
      <c r="K70" s="43">
        <v>0</v>
      </c>
      <c r="L70" s="43">
        <v>145</v>
      </c>
      <c r="M70" s="43">
        <v>80</v>
      </c>
    </row>
    <row r="71" spans="3:13" ht="15.75" hidden="1" customHeight="1" x14ac:dyDescent="0.3">
      <c r="C71" s="43">
        <v>164</v>
      </c>
      <c r="D71" s="42" t="s">
        <v>602</v>
      </c>
      <c r="E71" s="42" t="s">
        <v>603</v>
      </c>
      <c r="F71" s="42" t="s">
        <v>604</v>
      </c>
      <c r="G71" s="42" t="s">
        <v>605</v>
      </c>
      <c r="H71" s="49">
        <v>37642</v>
      </c>
      <c r="I71" s="42" t="s">
        <v>555</v>
      </c>
      <c r="J71" s="43">
        <v>9600</v>
      </c>
      <c r="K71" s="43">
        <v>0.2</v>
      </c>
      <c r="L71" s="43">
        <v>146</v>
      </c>
      <c r="M71" s="43">
        <v>80</v>
      </c>
    </row>
    <row r="72" spans="3:13" ht="15.75" hidden="1" customHeight="1" x14ac:dyDescent="0.3">
      <c r="C72" s="43">
        <v>165</v>
      </c>
      <c r="D72" s="42" t="s">
        <v>372</v>
      </c>
      <c r="E72" s="42" t="s">
        <v>606</v>
      </c>
      <c r="F72" s="42" t="s">
        <v>607</v>
      </c>
      <c r="G72" s="42" t="s">
        <v>608</v>
      </c>
      <c r="H72" s="49">
        <v>39388</v>
      </c>
      <c r="I72" s="42" t="s">
        <v>555</v>
      </c>
      <c r="J72" s="43">
        <v>7400</v>
      </c>
      <c r="K72" s="43">
        <v>0.5</v>
      </c>
      <c r="L72" s="43">
        <v>146</v>
      </c>
      <c r="M72" s="43">
        <v>80</v>
      </c>
    </row>
    <row r="73" spans="3:13" ht="15.75" hidden="1" customHeight="1" x14ac:dyDescent="0.3">
      <c r="C73" s="43">
        <v>166</v>
      </c>
      <c r="D73" s="42" t="s">
        <v>609</v>
      </c>
      <c r="E73" s="42" t="s">
        <v>610</v>
      </c>
      <c r="F73" s="42" t="s">
        <v>611</v>
      </c>
      <c r="G73" s="42" t="s">
        <v>612</v>
      </c>
      <c r="H73" s="49">
        <v>37967</v>
      </c>
      <c r="I73" s="42" t="s">
        <v>555</v>
      </c>
      <c r="J73" s="43">
        <v>7300</v>
      </c>
      <c r="K73" s="43">
        <v>0.5</v>
      </c>
      <c r="L73" s="43">
        <v>146</v>
      </c>
      <c r="M73" s="43">
        <v>80</v>
      </c>
    </row>
    <row r="74" spans="3:13" ht="15.75" hidden="1" customHeight="1" x14ac:dyDescent="0.3">
      <c r="C74" s="43">
        <v>167</v>
      </c>
      <c r="D74" s="42" t="s">
        <v>613</v>
      </c>
      <c r="E74" s="42" t="s">
        <v>614</v>
      </c>
      <c r="F74" s="42" t="s">
        <v>615</v>
      </c>
      <c r="G74" s="42" t="s">
        <v>616</v>
      </c>
      <c r="H74" s="49">
        <v>37887</v>
      </c>
      <c r="I74" s="42" t="s">
        <v>555</v>
      </c>
      <c r="J74" s="43">
        <v>6100</v>
      </c>
      <c r="K74" s="43">
        <v>0.4</v>
      </c>
      <c r="L74" s="43">
        <v>146</v>
      </c>
      <c r="M74" s="43">
        <v>80</v>
      </c>
    </row>
    <row r="75" spans="3:13" ht="15.75" hidden="1" customHeight="1" x14ac:dyDescent="0.3">
      <c r="C75" s="43">
        <v>168</v>
      </c>
      <c r="D75" s="42" t="s">
        <v>617</v>
      </c>
      <c r="E75" s="42" t="s">
        <v>618</v>
      </c>
      <c r="F75" s="42" t="s">
        <v>619</v>
      </c>
      <c r="G75" s="42" t="s">
        <v>620</v>
      </c>
      <c r="H75" s="49">
        <v>37929</v>
      </c>
      <c r="I75" s="42" t="s">
        <v>555</v>
      </c>
      <c r="J75" s="43">
        <v>11000</v>
      </c>
      <c r="K75" s="43">
        <v>0.4</v>
      </c>
      <c r="L75" s="43">
        <v>146</v>
      </c>
      <c r="M75" s="43">
        <v>80</v>
      </c>
    </row>
    <row r="76" spans="3:13" ht="15.75" hidden="1" customHeight="1" x14ac:dyDescent="0.3">
      <c r="C76" s="43">
        <v>169</v>
      </c>
      <c r="D76" s="42" t="s">
        <v>621</v>
      </c>
      <c r="E76" s="42" t="s">
        <v>622</v>
      </c>
      <c r="F76" s="42" t="s">
        <v>623</v>
      </c>
      <c r="G76" s="42" t="s">
        <v>624</v>
      </c>
      <c r="H76" s="49">
        <v>37646</v>
      </c>
      <c r="I76" s="42" t="s">
        <v>555</v>
      </c>
      <c r="J76" s="43">
        <v>8800</v>
      </c>
      <c r="K76" s="43">
        <v>0.2</v>
      </c>
      <c r="L76" s="43">
        <v>146</v>
      </c>
      <c r="M76" s="43">
        <v>80</v>
      </c>
    </row>
    <row r="77" spans="3:13" ht="15.75" hidden="1" customHeight="1" x14ac:dyDescent="0.3">
      <c r="C77" s="43">
        <v>170</v>
      </c>
      <c r="D77" s="42" t="s">
        <v>625</v>
      </c>
      <c r="E77" s="42" t="s">
        <v>626</v>
      </c>
      <c r="F77" s="42" t="s">
        <v>627</v>
      </c>
      <c r="G77" s="42" t="s">
        <v>628</v>
      </c>
      <c r="H77" s="49">
        <v>38590</v>
      </c>
      <c r="I77" s="42" t="s">
        <v>555</v>
      </c>
      <c r="J77" s="43">
        <v>8600</v>
      </c>
      <c r="K77" s="43">
        <v>0.2</v>
      </c>
      <c r="L77" s="43">
        <v>146</v>
      </c>
      <c r="M77" s="43">
        <v>80</v>
      </c>
    </row>
    <row r="78" spans="3:13" ht="15.75" hidden="1" customHeight="1" x14ac:dyDescent="0.3">
      <c r="C78" s="43">
        <v>171</v>
      </c>
      <c r="D78" s="42" t="s">
        <v>629</v>
      </c>
      <c r="E78" s="42" t="s">
        <v>630</v>
      </c>
      <c r="F78" s="42" t="s">
        <v>631</v>
      </c>
      <c r="G78" s="42" t="s">
        <v>632</v>
      </c>
      <c r="H78" s="49">
        <v>39028</v>
      </c>
      <c r="I78" s="42" t="s">
        <v>555</v>
      </c>
      <c r="J78" s="43">
        <v>8400</v>
      </c>
      <c r="K78" s="43">
        <v>0.2</v>
      </c>
      <c r="L78" s="43">
        <v>147</v>
      </c>
      <c r="M78" s="43">
        <v>80</v>
      </c>
    </row>
    <row r="79" spans="3:13" ht="15.75" hidden="1" customHeight="1" x14ac:dyDescent="0.3">
      <c r="C79" s="43">
        <v>172</v>
      </c>
      <c r="D79" s="42" t="s">
        <v>633</v>
      </c>
      <c r="E79" s="42" t="s">
        <v>585</v>
      </c>
      <c r="F79" s="42" t="s">
        <v>634</v>
      </c>
      <c r="G79" s="42" t="s">
        <v>635</v>
      </c>
      <c r="H79" s="49">
        <v>38014</v>
      </c>
      <c r="I79" s="42" t="s">
        <v>555</v>
      </c>
      <c r="J79" s="43">
        <v>7000</v>
      </c>
      <c r="K79" s="43">
        <v>0.1</v>
      </c>
      <c r="L79" s="43">
        <v>147</v>
      </c>
      <c r="M79" s="43">
        <v>80</v>
      </c>
    </row>
    <row r="80" spans="3:13" ht="15.75" hidden="1" customHeight="1" x14ac:dyDescent="0.3">
      <c r="C80" s="43">
        <v>173</v>
      </c>
      <c r="D80" s="42" t="s">
        <v>636</v>
      </c>
      <c r="E80" s="42" t="s">
        <v>637</v>
      </c>
      <c r="F80" s="42" t="s">
        <v>638</v>
      </c>
      <c r="G80" s="42" t="s">
        <v>639</v>
      </c>
      <c r="H80" s="49">
        <v>39962</v>
      </c>
      <c r="I80" s="42" t="s">
        <v>555</v>
      </c>
      <c r="J80" s="43">
        <v>6260</v>
      </c>
      <c r="K80" s="43">
        <v>0.1</v>
      </c>
      <c r="L80" s="43">
        <v>147</v>
      </c>
      <c r="M80" s="43">
        <v>80</v>
      </c>
    </row>
    <row r="81" spans="3:13" ht="15.75" hidden="1" customHeight="1" x14ac:dyDescent="0.3">
      <c r="C81" s="43">
        <v>174</v>
      </c>
      <c r="D81" s="42" t="s">
        <v>640</v>
      </c>
      <c r="E81" s="42" t="s">
        <v>641</v>
      </c>
      <c r="F81" s="42" t="s">
        <v>642</v>
      </c>
      <c r="G81" s="42" t="s">
        <v>643</v>
      </c>
      <c r="H81" s="49">
        <v>37764</v>
      </c>
      <c r="I81" s="42" t="s">
        <v>555</v>
      </c>
      <c r="J81" s="43">
        <v>3200</v>
      </c>
      <c r="K81" s="43">
        <v>0</v>
      </c>
      <c r="L81" s="43">
        <v>147</v>
      </c>
      <c r="M81" s="43">
        <v>80</v>
      </c>
    </row>
    <row r="82" spans="3:13" ht="15.75" hidden="1" customHeight="1" x14ac:dyDescent="0.3">
      <c r="C82" s="43">
        <v>175</v>
      </c>
      <c r="D82" s="42" t="s">
        <v>644</v>
      </c>
      <c r="E82" s="42" t="s">
        <v>645</v>
      </c>
      <c r="F82" s="42" t="s">
        <v>646</v>
      </c>
      <c r="G82" s="42" t="s">
        <v>647</v>
      </c>
      <c r="H82" s="49">
        <v>37653</v>
      </c>
      <c r="I82" s="42" t="s">
        <v>555</v>
      </c>
      <c r="J82" s="43">
        <v>3100</v>
      </c>
      <c r="K82" s="43">
        <v>0</v>
      </c>
      <c r="L82" s="43">
        <v>147</v>
      </c>
      <c r="M82" s="43">
        <v>80</v>
      </c>
    </row>
    <row r="83" spans="3:13" ht="15.75" hidden="1" customHeight="1" x14ac:dyDescent="0.3">
      <c r="C83" s="43">
        <v>176</v>
      </c>
      <c r="D83" s="42" t="s">
        <v>648</v>
      </c>
      <c r="E83" s="42" t="s">
        <v>649</v>
      </c>
      <c r="F83" s="42" t="s">
        <v>650</v>
      </c>
      <c r="G83" s="42" t="s">
        <v>651</v>
      </c>
      <c r="H83" s="49">
        <v>39084</v>
      </c>
      <c r="I83" s="42" t="s">
        <v>555</v>
      </c>
      <c r="J83" s="43">
        <v>2500</v>
      </c>
      <c r="K83" s="43">
        <v>0</v>
      </c>
      <c r="L83" s="43">
        <v>148</v>
      </c>
      <c r="M83" s="43">
        <v>80</v>
      </c>
    </row>
    <row r="84" spans="3:13" ht="15.75" hidden="1" customHeight="1" x14ac:dyDescent="0.3">
      <c r="C84" s="43">
        <v>177</v>
      </c>
      <c r="D84" s="42" t="s">
        <v>652</v>
      </c>
      <c r="E84" s="42" t="s">
        <v>653</v>
      </c>
      <c r="F84" s="42" t="s">
        <v>654</v>
      </c>
      <c r="G84" s="42" t="s">
        <v>655</v>
      </c>
      <c r="H84" s="49">
        <v>37665</v>
      </c>
      <c r="I84" s="42" t="s">
        <v>555</v>
      </c>
      <c r="J84" s="43">
        <v>2800</v>
      </c>
      <c r="K84" s="43">
        <v>0</v>
      </c>
      <c r="L84" s="43">
        <v>148</v>
      </c>
      <c r="M84" s="43">
        <v>80</v>
      </c>
    </row>
    <row r="85" spans="3:13" ht="15.75" hidden="1" customHeight="1" x14ac:dyDescent="0.3">
      <c r="C85" s="43">
        <v>178</v>
      </c>
      <c r="D85" s="42" t="s">
        <v>656</v>
      </c>
      <c r="E85" s="42" t="s">
        <v>657</v>
      </c>
      <c r="F85" s="42" t="s">
        <v>658</v>
      </c>
      <c r="G85" s="42" t="s">
        <v>659</v>
      </c>
      <c r="H85" s="49">
        <v>39511</v>
      </c>
      <c r="I85" s="42" t="s">
        <v>555</v>
      </c>
      <c r="J85" s="43">
        <v>4200</v>
      </c>
      <c r="K85" s="43">
        <v>0</v>
      </c>
      <c r="L85" s="43">
        <v>148</v>
      </c>
      <c r="M85" s="43">
        <v>80</v>
      </c>
    </row>
    <row r="86" spans="3:13" ht="15.75" hidden="1" customHeight="1" x14ac:dyDescent="0.3">
      <c r="C86" s="43">
        <v>179</v>
      </c>
      <c r="D86" s="42" t="s">
        <v>660</v>
      </c>
      <c r="E86" s="42" t="s">
        <v>661</v>
      </c>
      <c r="F86" s="42" t="s">
        <v>662</v>
      </c>
      <c r="G86" s="42" t="s">
        <v>663</v>
      </c>
      <c r="H86" s="49">
        <v>38701</v>
      </c>
      <c r="I86" s="42" t="s">
        <v>555</v>
      </c>
      <c r="J86" s="43">
        <v>4100</v>
      </c>
      <c r="K86" s="43">
        <v>0</v>
      </c>
      <c r="L86" s="43">
        <v>148</v>
      </c>
      <c r="M86" s="43">
        <v>80</v>
      </c>
    </row>
    <row r="87" spans="3:13" ht="15.75" hidden="1" customHeight="1" x14ac:dyDescent="0.3">
      <c r="C87" s="43">
        <v>180</v>
      </c>
      <c r="D87" s="42" t="s">
        <v>664</v>
      </c>
      <c r="E87" s="42" t="s">
        <v>665</v>
      </c>
      <c r="F87" s="42" t="s">
        <v>666</v>
      </c>
      <c r="G87" s="42" t="s">
        <v>667</v>
      </c>
      <c r="H87" s="49">
        <v>37678</v>
      </c>
      <c r="I87" s="42" t="s">
        <v>555</v>
      </c>
      <c r="J87" s="43">
        <v>3400</v>
      </c>
      <c r="K87" s="43">
        <v>0.2</v>
      </c>
      <c r="L87" s="43">
        <v>148</v>
      </c>
      <c r="M87" s="43">
        <v>80</v>
      </c>
    </row>
    <row r="88" spans="3:13" ht="15.75" hidden="1" customHeight="1" x14ac:dyDescent="0.3">
      <c r="C88" s="43">
        <v>181</v>
      </c>
      <c r="D88" s="42" t="s">
        <v>668</v>
      </c>
      <c r="E88" s="42" t="s">
        <v>669</v>
      </c>
      <c r="F88" s="42" t="s">
        <v>670</v>
      </c>
      <c r="G88" s="42" t="s">
        <v>671</v>
      </c>
      <c r="H88" s="49">
        <v>39068</v>
      </c>
      <c r="I88" s="42" t="s">
        <v>672</v>
      </c>
      <c r="J88" s="43">
        <v>3000</v>
      </c>
      <c r="K88" s="43">
        <v>0.1</v>
      </c>
      <c r="L88" s="43">
        <v>148</v>
      </c>
      <c r="M88" s="43">
        <v>50</v>
      </c>
    </row>
    <row r="89" spans="3:13" ht="15.75" hidden="1" customHeight="1" x14ac:dyDescent="0.3">
      <c r="C89" s="43">
        <v>182</v>
      </c>
      <c r="D89" s="42" t="s">
        <v>673</v>
      </c>
      <c r="E89" s="42" t="s">
        <v>674</v>
      </c>
      <c r="F89" s="42" t="s">
        <v>675</v>
      </c>
      <c r="G89" s="42" t="s">
        <v>676</v>
      </c>
      <c r="H89" s="49">
        <v>37810</v>
      </c>
      <c r="I89" s="42" t="s">
        <v>672</v>
      </c>
      <c r="J89" s="43">
        <v>3800</v>
      </c>
      <c r="K89" s="43">
        <v>0.1</v>
      </c>
      <c r="L89" s="43">
        <v>148</v>
      </c>
      <c r="M89" s="43">
        <v>50</v>
      </c>
    </row>
    <row r="90" spans="3:13" ht="15.75" hidden="1" customHeight="1" x14ac:dyDescent="0.3">
      <c r="C90" s="43">
        <v>183</v>
      </c>
      <c r="D90" s="42" t="s">
        <v>677</v>
      </c>
      <c r="E90" s="42" t="s">
        <v>678</v>
      </c>
      <c r="F90" s="42" t="s">
        <v>679</v>
      </c>
      <c r="G90" s="42" t="s">
        <v>680</v>
      </c>
      <c r="H90" s="49">
        <v>39070</v>
      </c>
      <c r="I90" s="42" t="s">
        <v>672</v>
      </c>
      <c r="J90" s="43">
        <v>3600</v>
      </c>
      <c r="K90" s="43">
        <v>0.1</v>
      </c>
      <c r="L90" s="43">
        <v>148</v>
      </c>
      <c r="M90" s="43">
        <v>50</v>
      </c>
    </row>
    <row r="91" spans="3:13" ht="15.75" hidden="1" customHeight="1" x14ac:dyDescent="0.3">
      <c r="C91" s="43">
        <v>184</v>
      </c>
      <c r="D91" s="42" t="s">
        <v>681</v>
      </c>
      <c r="E91" s="42" t="s">
        <v>682</v>
      </c>
      <c r="F91" s="42" t="s">
        <v>683</v>
      </c>
      <c r="G91" s="42" t="s">
        <v>684</v>
      </c>
      <c r="H91" s="49">
        <v>38493</v>
      </c>
      <c r="I91" s="42" t="s">
        <v>672</v>
      </c>
      <c r="J91" s="43">
        <v>2600</v>
      </c>
      <c r="K91" s="43">
        <v>0.2</v>
      </c>
      <c r="L91" s="43">
        <v>148</v>
      </c>
      <c r="M91" s="43">
        <v>50</v>
      </c>
    </row>
    <row r="92" spans="3:13" ht="15.75" hidden="1" customHeight="1" x14ac:dyDescent="0.3">
      <c r="C92" s="43">
        <v>185</v>
      </c>
      <c r="D92" s="42" t="s">
        <v>685</v>
      </c>
      <c r="E92" s="42" t="s">
        <v>686</v>
      </c>
      <c r="F92" s="42" t="s">
        <v>687</v>
      </c>
      <c r="G92" s="42" t="s">
        <v>688</v>
      </c>
      <c r="H92" s="49">
        <v>39417</v>
      </c>
      <c r="I92" s="42" t="s">
        <v>672</v>
      </c>
      <c r="J92" s="43">
        <v>2500</v>
      </c>
      <c r="K92" s="43">
        <v>0.2</v>
      </c>
      <c r="L92" s="43">
        <v>148</v>
      </c>
      <c r="M92" s="43">
        <v>50</v>
      </c>
    </row>
    <row r="93" spans="3:13" ht="15.75" hidden="1" customHeight="1" x14ac:dyDescent="0.3">
      <c r="C93" s="43">
        <v>186</v>
      </c>
      <c r="D93" s="42" t="s">
        <v>456</v>
      </c>
      <c r="E93" s="42" t="s">
        <v>689</v>
      </c>
      <c r="F93" s="42" t="s">
        <v>690</v>
      </c>
      <c r="G93" s="42" t="s">
        <v>691</v>
      </c>
      <c r="H93" s="49">
        <v>37956</v>
      </c>
      <c r="I93" s="42" t="s">
        <v>672</v>
      </c>
      <c r="J93" s="43">
        <v>4000</v>
      </c>
      <c r="K93" s="43">
        <v>0.2</v>
      </c>
      <c r="L93" s="43">
        <v>149</v>
      </c>
      <c r="M93" s="43">
        <v>50</v>
      </c>
    </row>
    <row r="94" spans="3:13" ht="15.75" hidden="1" customHeight="1" x14ac:dyDescent="0.3">
      <c r="C94" s="43">
        <v>187</v>
      </c>
      <c r="D94" s="42" t="s">
        <v>692</v>
      </c>
      <c r="E94" s="42" t="s">
        <v>693</v>
      </c>
      <c r="F94" s="42" t="s">
        <v>694</v>
      </c>
      <c r="G94" s="42" t="s">
        <v>695</v>
      </c>
      <c r="H94" s="49">
        <v>39795</v>
      </c>
      <c r="I94" s="42" t="s">
        <v>672</v>
      </c>
      <c r="J94" s="43">
        <v>3900</v>
      </c>
      <c r="K94" s="43">
        <v>0.1</v>
      </c>
      <c r="L94" s="43">
        <v>149</v>
      </c>
      <c r="M94" s="43">
        <v>50</v>
      </c>
    </row>
    <row r="95" spans="3:13" ht="15.75" hidden="1" customHeight="1" x14ac:dyDescent="0.3">
      <c r="C95" s="43">
        <v>188</v>
      </c>
      <c r="D95" s="42" t="s">
        <v>696</v>
      </c>
      <c r="E95" s="42" t="s">
        <v>697</v>
      </c>
      <c r="F95" s="42" t="s">
        <v>698</v>
      </c>
      <c r="G95" s="42" t="s">
        <v>699</v>
      </c>
      <c r="H95" s="49">
        <v>37959</v>
      </c>
      <c r="I95" s="42" t="s">
        <v>672</v>
      </c>
      <c r="J95" s="43">
        <v>3200</v>
      </c>
      <c r="K95" s="43">
        <v>0</v>
      </c>
      <c r="L95" s="43">
        <v>149</v>
      </c>
      <c r="M95" s="43">
        <v>50</v>
      </c>
    </row>
    <row r="96" spans="3:13" ht="15.75" hidden="1" customHeight="1" x14ac:dyDescent="0.3">
      <c r="C96" s="43">
        <v>189</v>
      </c>
      <c r="D96" s="42" t="s">
        <v>700</v>
      </c>
      <c r="E96" s="42" t="s">
        <v>701</v>
      </c>
      <c r="F96" s="42" t="s">
        <v>702</v>
      </c>
      <c r="G96" s="42" t="s">
        <v>703</v>
      </c>
      <c r="H96" s="49">
        <v>37787</v>
      </c>
      <c r="I96" s="42" t="s">
        <v>672</v>
      </c>
      <c r="J96" s="43">
        <v>2800</v>
      </c>
      <c r="K96" s="43">
        <v>0</v>
      </c>
      <c r="L96" s="43">
        <v>149</v>
      </c>
      <c r="M96" s="43">
        <v>50</v>
      </c>
    </row>
    <row r="97" spans="3:13" ht="15.75" hidden="1" customHeight="1" x14ac:dyDescent="0.3">
      <c r="C97" s="43">
        <v>190</v>
      </c>
      <c r="D97" s="42" t="s">
        <v>704</v>
      </c>
      <c r="E97" s="42" t="s">
        <v>705</v>
      </c>
      <c r="F97" s="42" t="s">
        <v>706</v>
      </c>
      <c r="G97" s="42" t="s">
        <v>707</v>
      </c>
      <c r="H97" s="49">
        <v>39067</v>
      </c>
      <c r="I97" s="42" t="s">
        <v>672</v>
      </c>
      <c r="J97" s="43">
        <v>3100</v>
      </c>
      <c r="K97" s="43">
        <v>0</v>
      </c>
      <c r="L97" s="43">
        <v>149</v>
      </c>
      <c r="M97" s="43">
        <v>50</v>
      </c>
    </row>
    <row r="98" spans="3:13" ht="15.75" hidden="1" customHeight="1" x14ac:dyDescent="0.3">
      <c r="C98" s="43">
        <v>191</v>
      </c>
      <c r="D98" s="42" t="s">
        <v>708</v>
      </c>
      <c r="E98" s="42" t="s">
        <v>709</v>
      </c>
      <c r="F98" s="42" t="s">
        <v>710</v>
      </c>
      <c r="G98" s="42" t="s">
        <v>711</v>
      </c>
      <c r="H98" s="49">
        <v>37773</v>
      </c>
      <c r="I98" s="42" t="s">
        <v>672</v>
      </c>
      <c r="J98" s="43">
        <v>3000</v>
      </c>
      <c r="K98" s="43">
        <v>0.1</v>
      </c>
      <c r="L98" s="43">
        <v>120</v>
      </c>
      <c r="M98" s="43">
        <v>50</v>
      </c>
    </row>
    <row r="99" spans="3:13" ht="15.75" hidden="1" customHeight="1" x14ac:dyDescent="0.3">
      <c r="C99" s="43">
        <v>192</v>
      </c>
      <c r="D99" s="42" t="s">
        <v>712</v>
      </c>
      <c r="E99" s="42" t="s">
        <v>713</v>
      </c>
      <c r="F99" s="42" t="s">
        <v>714</v>
      </c>
      <c r="G99" s="42" t="s">
        <v>715</v>
      </c>
      <c r="H99" s="49">
        <v>37851</v>
      </c>
      <c r="I99" s="42" t="s">
        <v>672</v>
      </c>
      <c r="J99" s="43">
        <v>2600</v>
      </c>
      <c r="K99" s="43">
        <v>0.1</v>
      </c>
      <c r="L99" s="43">
        <v>120</v>
      </c>
      <c r="M99" s="43">
        <v>50</v>
      </c>
    </row>
    <row r="100" spans="3:13" ht="15.75" hidden="1" customHeight="1" x14ac:dyDescent="0.3">
      <c r="C100" s="43">
        <v>193</v>
      </c>
      <c r="D100" s="42" t="s">
        <v>716</v>
      </c>
      <c r="E100" s="42" t="s">
        <v>717</v>
      </c>
      <c r="F100" s="42" t="s">
        <v>718</v>
      </c>
      <c r="G100" s="42" t="s">
        <v>719</v>
      </c>
      <c r="H100" s="49">
        <v>40156</v>
      </c>
      <c r="I100" s="42" t="s">
        <v>672</v>
      </c>
      <c r="J100" s="43">
        <v>2600</v>
      </c>
      <c r="K100" s="43">
        <v>0.5</v>
      </c>
      <c r="L100" s="43">
        <v>120</v>
      </c>
      <c r="M100" s="43">
        <v>50</v>
      </c>
    </row>
    <row r="101" spans="3:13" ht="15.75" hidden="1" customHeight="1" x14ac:dyDescent="0.3">
      <c r="C101" s="43">
        <v>194</v>
      </c>
      <c r="D101" s="42" t="s">
        <v>720</v>
      </c>
      <c r="E101" s="42" t="s">
        <v>721</v>
      </c>
      <c r="F101" s="42" t="s">
        <v>722</v>
      </c>
      <c r="G101" s="42" t="s">
        <v>723</v>
      </c>
      <c r="H101" s="49">
        <v>38676</v>
      </c>
      <c r="I101" s="42" t="s">
        <v>672</v>
      </c>
      <c r="J101" s="43">
        <v>4400</v>
      </c>
      <c r="K101" s="43">
        <v>0.6</v>
      </c>
      <c r="L101" s="43">
        <v>120</v>
      </c>
      <c r="M101" s="43">
        <v>50</v>
      </c>
    </row>
    <row r="102" spans="3:13" ht="15.75" hidden="1" customHeight="1" x14ac:dyDescent="0.3">
      <c r="C102" s="43">
        <v>195</v>
      </c>
      <c r="D102" s="42" t="s">
        <v>724</v>
      </c>
      <c r="E102" s="42" t="s">
        <v>725</v>
      </c>
      <c r="F102" s="42" t="s">
        <v>726</v>
      </c>
      <c r="G102" s="42" t="s">
        <v>727</v>
      </c>
      <c r="H102" s="49">
        <v>38677</v>
      </c>
      <c r="I102" s="42" t="s">
        <v>672</v>
      </c>
      <c r="J102" s="43">
        <v>13000</v>
      </c>
      <c r="K102" s="43">
        <v>0.1</v>
      </c>
      <c r="L102" s="43">
        <v>120</v>
      </c>
      <c r="M102" s="43">
        <v>50</v>
      </c>
    </row>
    <row r="103" spans="3:13" ht="15.75" hidden="1" customHeight="1" x14ac:dyDescent="0.3">
      <c r="C103" s="43">
        <v>196</v>
      </c>
      <c r="D103" s="42" t="s">
        <v>452</v>
      </c>
      <c r="E103" s="42" t="s">
        <v>728</v>
      </c>
      <c r="F103" s="42" t="s">
        <v>729</v>
      </c>
      <c r="G103" s="42" t="s">
        <v>730</v>
      </c>
      <c r="H103" s="49">
        <v>39408</v>
      </c>
      <c r="I103" s="42" t="s">
        <v>672</v>
      </c>
      <c r="J103" s="43">
        <v>6000</v>
      </c>
      <c r="K103" s="43">
        <v>0.2</v>
      </c>
      <c r="L103" s="43">
        <v>121</v>
      </c>
      <c r="M103" s="43">
        <v>50</v>
      </c>
    </row>
    <row r="104" spans="3:13" ht="15.75" hidden="1" customHeight="1" x14ac:dyDescent="0.3">
      <c r="C104" s="43">
        <v>197</v>
      </c>
      <c r="D104" s="42" t="s">
        <v>731</v>
      </c>
      <c r="E104" s="42" t="s">
        <v>732</v>
      </c>
      <c r="F104" s="42" t="s">
        <v>733</v>
      </c>
      <c r="G104" s="42" t="s">
        <v>734</v>
      </c>
      <c r="H104" s="49">
        <v>37917</v>
      </c>
      <c r="I104" s="42" t="s">
        <v>672</v>
      </c>
      <c r="J104" s="43">
        <v>6500</v>
      </c>
      <c r="K104" s="43">
        <v>0.2</v>
      </c>
      <c r="L104" s="43">
        <v>121</v>
      </c>
      <c r="M104" s="43">
        <v>50</v>
      </c>
    </row>
    <row r="105" spans="3:13" ht="15.75" hidden="1" customHeight="1" x14ac:dyDescent="0.3">
      <c r="C105" s="43">
        <v>198</v>
      </c>
      <c r="D105" s="42" t="s">
        <v>735</v>
      </c>
      <c r="E105" s="42" t="s">
        <v>736</v>
      </c>
      <c r="F105" s="42" t="s">
        <v>737</v>
      </c>
      <c r="G105" s="42" t="s">
        <v>738</v>
      </c>
      <c r="H105" s="49">
        <v>39055</v>
      </c>
      <c r="I105" s="42" t="s">
        <v>672</v>
      </c>
      <c r="J105" s="43">
        <v>10000</v>
      </c>
      <c r="K105" s="43">
        <v>0.1</v>
      </c>
      <c r="L105" s="43">
        <v>121</v>
      </c>
      <c r="M105" s="43">
        <v>50</v>
      </c>
    </row>
    <row r="106" spans="3:13" ht="15.75" hidden="1" customHeight="1" x14ac:dyDescent="0.3">
      <c r="C106" s="43">
        <v>199</v>
      </c>
      <c r="D106" s="42" t="s">
        <v>491</v>
      </c>
      <c r="E106" s="42" t="s">
        <v>739</v>
      </c>
      <c r="F106" s="42" t="s">
        <v>740</v>
      </c>
      <c r="G106" s="42" t="s">
        <v>741</v>
      </c>
      <c r="H106" s="49">
        <v>37657</v>
      </c>
      <c r="I106" s="42" t="s">
        <v>672</v>
      </c>
      <c r="J106" s="43">
        <v>12000</v>
      </c>
      <c r="K106" s="43">
        <v>0.4</v>
      </c>
      <c r="L106" s="43">
        <v>121</v>
      </c>
      <c r="M106" s="43">
        <v>50</v>
      </c>
    </row>
    <row r="107" spans="3:13" ht="15.75" hidden="1" customHeight="1" x14ac:dyDescent="0.3">
      <c r="C107" s="43">
        <v>200</v>
      </c>
      <c r="D107" s="42" t="s">
        <v>742</v>
      </c>
      <c r="E107" s="42" t="s">
        <v>743</v>
      </c>
      <c r="F107" s="42" t="s">
        <v>744</v>
      </c>
      <c r="G107" s="42" t="s">
        <v>745</v>
      </c>
      <c r="H107" s="49">
        <v>37678</v>
      </c>
      <c r="I107" s="42" t="s">
        <v>746</v>
      </c>
      <c r="J107" s="43">
        <v>6000</v>
      </c>
      <c r="K107" s="43">
        <v>0.3</v>
      </c>
      <c r="L107" s="43">
        <v>122</v>
      </c>
      <c r="M107" s="43">
        <v>10</v>
      </c>
    </row>
    <row r="108" spans="3:13" ht="15.75" hidden="1" customHeight="1" x14ac:dyDescent="0.3">
      <c r="C108" s="43">
        <v>201</v>
      </c>
      <c r="D108" s="42" t="s">
        <v>576</v>
      </c>
      <c r="E108" s="42" t="s">
        <v>661</v>
      </c>
      <c r="F108" s="42" t="s">
        <v>747</v>
      </c>
      <c r="G108" s="42" t="s">
        <v>748</v>
      </c>
      <c r="H108" s="49">
        <v>38713</v>
      </c>
      <c r="I108" s="42" t="s">
        <v>749</v>
      </c>
      <c r="J108" s="43">
        <v>13000</v>
      </c>
      <c r="K108" s="43">
        <v>0.2</v>
      </c>
      <c r="L108" s="43">
        <v>122</v>
      </c>
      <c r="M108" s="43">
        <v>20</v>
      </c>
    </row>
    <row r="109" spans="3:13" ht="15.75" hidden="1" customHeight="1" x14ac:dyDescent="0.3">
      <c r="C109" s="43">
        <v>202</v>
      </c>
      <c r="D109" s="42" t="s">
        <v>750</v>
      </c>
      <c r="E109" s="42" t="s">
        <v>751</v>
      </c>
      <c r="F109" s="42" t="s">
        <v>752</v>
      </c>
      <c r="G109" s="42" t="s">
        <v>753</v>
      </c>
      <c r="H109" s="49">
        <v>38227</v>
      </c>
      <c r="I109" s="42" t="s">
        <v>754</v>
      </c>
      <c r="J109" s="43">
        <v>6000</v>
      </c>
      <c r="K109" s="43">
        <v>0.2</v>
      </c>
      <c r="L109" s="43">
        <v>122</v>
      </c>
      <c r="M109" s="43">
        <v>20</v>
      </c>
    </row>
    <row r="110" spans="3:13" ht="15.75" hidden="1" customHeight="1" x14ac:dyDescent="0.3">
      <c r="C110" s="43">
        <v>203</v>
      </c>
      <c r="D110" s="42" t="s">
        <v>755</v>
      </c>
      <c r="E110" s="42" t="s">
        <v>756</v>
      </c>
      <c r="F110" s="42" t="s">
        <v>757</v>
      </c>
      <c r="G110" s="42" t="s">
        <v>758</v>
      </c>
      <c r="H110" s="49">
        <v>37964</v>
      </c>
      <c r="I110" s="42" t="s">
        <v>759</v>
      </c>
      <c r="J110" s="43">
        <v>6500</v>
      </c>
      <c r="K110" s="43">
        <v>0.3</v>
      </c>
      <c r="L110" s="43">
        <v>122</v>
      </c>
      <c r="M110" s="43">
        <v>40</v>
      </c>
    </row>
    <row r="111" spans="3:13" ht="15.75" hidden="1" customHeight="1" x14ac:dyDescent="0.3">
      <c r="C111" s="43">
        <v>204</v>
      </c>
      <c r="D111" s="42" t="s">
        <v>760</v>
      </c>
      <c r="E111" s="42" t="s">
        <v>761</v>
      </c>
      <c r="F111" s="42" t="s">
        <v>762</v>
      </c>
      <c r="G111" s="42" t="s">
        <v>763</v>
      </c>
      <c r="H111" s="49">
        <v>37904</v>
      </c>
      <c r="I111" s="42" t="s">
        <v>764</v>
      </c>
      <c r="J111" s="43">
        <v>10000</v>
      </c>
      <c r="K111" s="43">
        <v>0.4</v>
      </c>
      <c r="L111" s="43">
        <v>101</v>
      </c>
      <c r="M111" s="43">
        <v>70</v>
      </c>
    </row>
    <row r="112" spans="3:13" ht="15.75" hidden="1" customHeight="1" x14ac:dyDescent="0.3">
      <c r="C112" s="43">
        <v>205</v>
      </c>
      <c r="D112" s="42" t="s">
        <v>419</v>
      </c>
      <c r="E112" s="42" t="s">
        <v>765</v>
      </c>
      <c r="F112" s="42" t="s">
        <v>766</v>
      </c>
      <c r="G112" s="42" t="s">
        <v>767</v>
      </c>
      <c r="H112" s="49">
        <v>37966</v>
      </c>
      <c r="I112" s="42" t="s">
        <v>768</v>
      </c>
      <c r="J112" s="43">
        <v>12000</v>
      </c>
      <c r="K112" s="43">
        <v>0.5</v>
      </c>
      <c r="L112" s="43">
        <v>101</v>
      </c>
      <c r="M112" s="43">
        <v>110</v>
      </c>
    </row>
    <row r="113" spans="3:13" ht="15.75" hidden="1" customHeight="1" x14ac:dyDescent="0.3">
      <c r="C113" s="43">
        <v>206</v>
      </c>
      <c r="D113" s="42" t="s">
        <v>769</v>
      </c>
      <c r="E113" s="42" t="s">
        <v>770</v>
      </c>
      <c r="F113" s="42" t="s">
        <v>771</v>
      </c>
      <c r="G113" s="42" t="s">
        <v>772</v>
      </c>
      <c r="H113" s="49">
        <v>37987</v>
      </c>
      <c r="I113" s="42" t="s">
        <v>773</v>
      </c>
      <c r="J113" s="43">
        <v>8300</v>
      </c>
      <c r="K113" s="43">
        <v>0.25</v>
      </c>
      <c r="L113" s="43">
        <v>101</v>
      </c>
      <c r="M113" s="43">
        <v>110</v>
      </c>
    </row>
    <row r="114" spans="3:13" ht="15.75" customHeight="1" x14ac:dyDescent="0.25"/>
    <row r="115" spans="3:13" ht="15.75" customHeight="1" x14ac:dyDescent="0.3">
      <c r="F115" s="42"/>
    </row>
    <row r="116" spans="3:13" ht="15.75" customHeight="1" x14ac:dyDescent="0.25"/>
    <row r="117" spans="3:13" ht="15.75" customHeight="1" x14ac:dyDescent="0.25"/>
    <row r="118" spans="3:13" ht="15.75" customHeight="1" x14ac:dyDescent="0.25"/>
    <row r="119" spans="3:13" ht="15.75" customHeight="1" x14ac:dyDescent="0.25"/>
    <row r="120" spans="3:13" ht="15.75" customHeight="1" x14ac:dyDescent="0.25"/>
    <row r="121" spans="3:13" ht="15.75" customHeight="1" x14ac:dyDescent="0.25"/>
    <row r="122" spans="3:13" ht="15.75" customHeight="1" x14ac:dyDescent="0.25"/>
    <row r="123" spans="3:13" ht="15.75" customHeight="1" x14ac:dyDescent="0.25"/>
    <row r="124" spans="3:13" ht="15.75" customHeight="1" x14ac:dyDescent="0.25"/>
    <row r="125" spans="3:13" ht="15.75" customHeight="1" x14ac:dyDescent="0.25"/>
    <row r="126" spans="3:13" ht="15.75" customHeight="1" x14ac:dyDescent="0.25"/>
    <row r="127" spans="3:13" ht="15.75" customHeight="1" x14ac:dyDescent="0.25"/>
    <row r="128" spans="3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C6:M113" xr:uid="{00000000-0001-0000-0900-000000000000}">
    <filterColumn colId="6">
      <customFilters>
        <customFilter val="F*"/>
      </customFilters>
    </filterColumn>
    <filterColumn colId="10">
      <customFilters>
        <customFilter operator="greaterThan" val="50"/>
      </customFilters>
    </filterColumn>
  </autoFilter>
  <mergeCells count="1">
    <mergeCell ref="C2:M3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B1:E1000"/>
  <sheetViews>
    <sheetView workbookViewId="0">
      <selection activeCell="F8" sqref="F8"/>
    </sheetView>
  </sheetViews>
  <sheetFormatPr defaultColWidth="12.6640625" defaultRowHeight="15" customHeight="1" x14ac:dyDescent="0.25"/>
  <sheetData>
    <row r="1" spans="2:5" ht="15.75" customHeight="1" x14ac:dyDescent="0.25"/>
    <row r="2" spans="2:5" ht="15.75" customHeight="1" x14ac:dyDescent="0.25"/>
    <row r="3" spans="2:5" ht="15.75" customHeight="1" x14ac:dyDescent="0.35">
      <c r="B3" s="54" t="s">
        <v>774</v>
      </c>
      <c r="C3" s="55"/>
      <c r="D3" s="55"/>
      <c r="E3" s="56"/>
    </row>
    <row r="4" spans="2:5" ht="15.75" customHeight="1" x14ac:dyDescent="0.25">
      <c r="B4" s="7"/>
      <c r="C4" s="7"/>
      <c r="D4" s="7"/>
      <c r="E4" s="7"/>
    </row>
    <row r="5" spans="2:5" ht="15.75" customHeight="1" x14ac:dyDescent="0.35">
      <c r="B5" s="50" t="s">
        <v>775</v>
      </c>
      <c r="C5" s="51" t="s">
        <v>776</v>
      </c>
      <c r="D5" s="51" t="s">
        <v>777</v>
      </c>
      <c r="E5" s="51" t="s">
        <v>778</v>
      </c>
    </row>
    <row r="6" spans="2:5" ht="15.75" customHeight="1" x14ac:dyDescent="0.3">
      <c r="B6" s="52">
        <v>43842</v>
      </c>
      <c r="C6" s="53">
        <v>43908</v>
      </c>
      <c r="D6" s="53">
        <v>43876</v>
      </c>
      <c r="E6" s="1" t="str">
        <f>IF(AND(D6&gt;B6,D6&lt;C6),"Yes","No")</f>
        <v>Yes</v>
      </c>
    </row>
    <row r="7" spans="2:5" ht="15.75" customHeight="1" x14ac:dyDescent="0.3">
      <c r="B7" s="52">
        <v>43968</v>
      </c>
      <c r="C7" s="53">
        <v>44032</v>
      </c>
      <c r="D7" s="53">
        <v>43967</v>
      </c>
      <c r="E7" s="1" t="str">
        <f t="shared" ref="E7:E11" si="0">IF(AND(D7&gt;B7,D7&lt;C7),"Yes","No")</f>
        <v>No</v>
      </c>
    </row>
    <row r="8" spans="2:5" ht="15.75" customHeight="1" x14ac:dyDescent="0.3">
      <c r="B8" s="52">
        <v>44094</v>
      </c>
      <c r="C8" s="53">
        <v>44180</v>
      </c>
      <c r="D8" s="53">
        <v>44182</v>
      </c>
      <c r="E8" s="1" t="str">
        <f t="shared" si="0"/>
        <v>No</v>
      </c>
    </row>
    <row r="9" spans="2:5" ht="15.75" customHeight="1" x14ac:dyDescent="0.3">
      <c r="B9" s="52">
        <v>44222</v>
      </c>
      <c r="C9" s="53">
        <v>44314</v>
      </c>
      <c r="D9" s="53">
        <v>44281</v>
      </c>
      <c r="E9" s="1" t="str">
        <f t="shared" si="0"/>
        <v>Yes</v>
      </c>
    </row>
    <row r="10" spans="2:5" ht="15.75" customHeight="1" x14ac:dyDescent="0.3">
      <c r="B10" s="52">
        <v>44521</v>
      </c>
      <c r="C10" s="53">
        <v>44581</v>
      </c>
      <c r="D10" s="53">
        <v>44546</v>
      </c>
      <c r="E10" s="1" t="str">
        <f t="shared" si="0"/>
        <v>Yes</v>
      </c>
    </row>
    <row r="11" spans="2:5" ht="15.75" customHeight="1" x14ac:dyDescent="0.3">
      <c r="B11" s="52">
        <v>44555</v>
      </c>
      <c r="C11" s="53">
        <v>44804</v>
      </c>
      <c r="D11" s="53">
        <v>44557</v>
      </c>
      <c r="E11" s="1" t="str">
        <f t="shared" si="0"/>
        <v>Yes</v>
      </c>
    </row>
    <row r="12" spans="2:5" ht="15.75" customHeight="1" x14ac:dyDescent="0.25"/>
    <row r="13" spans="2:5" ht="15.75" customHeight="1" x14ac:dyDescent="0.25"/>
    <row r="14" spans="2:5" ht="15.75" customHeight="1" x14ac:dyDescent="0.25"/>
    <row r="15" spans="2:5" ht="15.75" customHeight="1" x14ac:dyDescent="0.25"/>
    <row r="16" spans="2: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3:E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sachin more</cp:lastModifiedBy>
  <dcterms:modified xsi:type="dcterms:W3CDTF">2026-04-15T14:41:18Z</dcterms:modified>
</cp:coreProperties>
</file>